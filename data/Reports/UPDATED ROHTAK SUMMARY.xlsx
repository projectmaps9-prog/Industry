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335"/>
  </bookViews>
  <sheets>
    <sheet name="Sheet1" sheetId="1" r:id="rId1"/>
  </sheets>
  <definedNames>
    <definedName name="_xlnm._FilterDatabase" localSheetId="0" hidden="1">Sheet1!$M$65:$X$179</definedName>
  </definedNames>
  <calcPr calcId="144525" iterate="1" iterateCount="100" iterateDelta="0.001"/>
</workbook>
</file>

<file path=xl/sharedStrings.xml><?xml version="1.0" encoding="utf-8"?>
<sst xmlns="http://schemas.openxmlformats.org/spreadsheetml/2006/main" count="137" uniqueCount="68">
  <si>
    <t>Name of Municipal Corporation ROHTAK</t>
  </si>
  <si>
    <t>SECTOR_NO</t>
  </si>
  <si>
    <t>SECTOR AREA(WHERE EVER AVAILABLE)</t>
  </si>
  <si>
    <t>NET PLANNED AREA (NPA) IN ACRES (by T&amp;CP D)</t>
  </si>
  <si>
    <t>LANDUSE AS PER DEVELOPMENT PLAN</t>
  </si>
  <si>
    <t>INDENTIFIED INDUSTRIES INDER SURVEY (ACRES)</t>
  </si>
  <si>
    <t>Proposed Cluster</t>
  </si>
  <si>
    <t>Total</t>
  </si>
  <si>
    <t>RED</t>
  </si>
  <si>
    <t>ORANGE</t>
  </si>
  <si>
    <t>GREEN</t>
  </si>
  <si>
    <t>WHITE</t>
  </si>
  <si>
    <t>REMARKS CLSUTERS/SECTOR</t>
  </si>
  <si>
    <t>Total No of Industries ( in acres) that may be consider red for relocation inder the policy</t>
  </si>
  <si>
    <t>Number of Clusters in a sector</t>
  </si>
  <si>
    <t>Total Area(acres)</t>
  </si>
  <si>
    <t>Total No of Industries</t>
  </si>
  <si>
    <t>Unique ID of Each cluster</t>
  </si>
  <si>
    <t>Area(acres)</t>
  </si>
  <si>
    <t>No of Non-Conforming Industries</t>
  </si>
  <si>
    <t>Percentage of Industries area w.r.t cluster area</t>
  </si>
  <si>
    <t>No of Industries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</si>
  <si>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</si>
  <si>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</si>
  <si>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</si>
  <si>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</si>
  <si>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</si>
  <si>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</si>
  <si>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</si>
  <si>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</si>
  <si>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</si>
  <si>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</si>
  <si>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</si>
  <si>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L=K/I</t>
  </si>
  <si>
    <t>M</t>
  </si>
  <si>
    <t>N</t>
  </si>
  <si>
    <t>O=N/K</t>
  </si>
  <si>
    <t>P</t>
  </si>
  <si>
    <t>Q</t>
  </si>
  <si>
    <t>R=Q/K</t>
  </si>
  <si>
    <t>S</t>
  </si>
  <si>
    <t>T</t>
  </si>
  <si>
    <t>U=T/K</t>
  </si>
  <si>
    <t>V</t>
  </si>
  <si>
    <t>W</t>
  </si>
  <si>
    <t>X=W/K</t>
  </si>
  <si>
    <t>Y</t>
  </si>
  <si>
    <t>Z</t>
  </si>
  <si>
    <t>OPEN SPACE</t>
  </si>
  <si>
    <t>RESIDENTIAL</t>
  </si>
  <si>
    <t>TRANSPORT AND COMMUNICATION</t>
  </si>
  <si>
    <t>COMMERCIAL</t>
  </si>
  <si>
    <t>PUBLIC UTILITIES</t>
  </si>
  <si>
    <t>PUBLIC AND SEMI PUBLIC</t>
  </si>
  <si>
    <t>EXISTING TOWN</t>
  </si>
  <si>
    <t>SPECIAL ZONE</t>
  </si>
  <si>
    <t>18-A</t>
  </si>
  <si>
    <t>20-A</t>
  </si>
  <si>
    <t>20-B</t>
  </si>
  <si>
    <t>21-A</t>
  </si>
  <si>
    <t>21-B</t>
  </si>
  <si>
    <t>21-E</t>
  </si>
  <si>
    <t>22-A</t>
  </si>
  <si>
    <t>22-D</t>
  </si>
  <si>
    <t>30-A</t>
  </si>
  <si>
    <t>30-B</t>
  </si>
  <si>
    <t>31-B</t>
  </si>
  <si>
    <t>Grand Total</t>
  </si>
</sst>
</file>

<file path=xl/styles.xml><?xml version="1.0" encoding="utf-8"?>
<styleSheet xmlns="http://schemas.openxmlformats.org/spreadsheetml/2006/main">
  <numFmts count="4">
    <numFmt numFmtId="176" formatCode="_ &quot;₹&quot;* #,##0_ ;_ &quot;₹&quot;* \-#,##0_ ;_ &quot;₹&quot;* &quot;-&quot;_ ;_ @_ "/>
    <numFmt numFmtId="177" formatCode="_ * #,##0.00_ ;_ * \-#,##0.00_ ;_ * &quot;-&quot;??_ ;_ @_ "/>
    <numFmt numFmtId="178" formatCode="_ * #,##0_ ;_ * \-#,##0_ ;_ * &quot;-&quot;_ ;_ @_ "/>
    <numFmt numFmtId="179" formatCode="_ &quot;₹&quot;* #,##0.00_ ;_ &quot;₹&quot;* \-#,##0.00_ ;_ &quot;₹&quot;* &quot;-&quot;??_ ;_ @_ "/>
  </numFmts>
  <fonts count="24"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7"/>
        <bgColor theme="4" tint="0.799981688894314"/>
      </patternFill>
    </fill>
    <fill>
      <patternFill patternType="solid">
        <fgColor theme="8" tint="0.6"/>
        <bgColor theme="4" tint="0.799981688894314"/>
      </patternFill>
    </fill>
    <fill>
      <patternFill patternType="solid">
        <fgColor theme="6" tint="0.4"/>
        <bgColor theme="4" tint="0.799981688894314"/>
      </patternFill>
    </fill>
    <fill>
      <patternFill patternType="solid">
        <fgColor theme="5" tint="0.4"/>
        <bgColor theme="4" tint="0.799981688894314"/>
      </patternFill>
    </fill>
    <fill>
      <patternFill patternType="solid">
        <fgColor theme="9" tint="0.6"/>
        <bgColor theme="4" tint="0.79998168889431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11" fillId="11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4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0" fillId="13" borderId="6" applyNumberFormat="0" applyFont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6" fillId="0" borderId="5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2" fillId="12" borderId="4" applyNumberFormat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9" fillId="8" borderId="9" applyNumberFormat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5" fillId="8" borderId="4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0" borderId="1" xfId="0" applyNumberFormat="1" applyFont="1" applyBorder="1" applyAlignment="1">
      <alignment horizontal="center" vertical="center"/>
    </xf>
    <xf numFmtId="0" fontId="3" fillId="2" borderId="1" xfId="0" applyNumberFormat="1" applyFont="1" applyFill="1" applyBorder="1" applyAlignment="1">
      <alignment horizontal="center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79"/>
  <sheetViews>
    <sheetView tabSelected="1" zoomScale="80" zoomScaleNormal="80" workbookViewId="0">
      <pane ySplit="6" topLeftCell="A7" activePane="bottomLeft" state="frozen"/>
      <selection/>
      <selection pane="bottomLeft" activeCell="R179" sqref="R179:X179"/>
    </sheetView>
  </sheetViews>
  <sheetFormatPr defaultColWidth="8.88888888888889" defaultRowHeight="14.4"/>
  <cols>
    <col min="1" max="1" width="7.65740740740741" style="1" customWidth="1"/>
    <col min="2" max="2" width="10.4814814814815" style="1" customWidth="1"/>
    <col min="3" max="3" width="10.9722222222222" style="1" customWidth="1"/>
    <col min="4" max="4" width="19.1111111111111" style="2" customWidth="1"/>
    <col min="5" max="5" width="9.62962962962963" style="1" customWidth="1"/>
    <col min="6" max="6" width="8.50925925925926" style="1" customWidth="1"/>
    <col min="7" max="7" width="9.62037037037037" style="1" customWidth="1"/>
    <col min="8" max="8" width="9.62962962962963" style="1" customWidth="1"/>
    <col min="9" max="9" width="7.28703703703704" style="1" customWidth="1"/>
    <col min="10" max="10" width="8.88888888888889" style="1"/>
    <col min="11" max="11" width="7.11111111111111" style="1" customWidth="1"/>
    <col min="12" max="13" width="8.88888888888889" style="1"/>
    <col min="14" max="14" width="9.66666666666667" style="1"/>
    <col min="15" max="16" width="8.88888888888889" style="1"/>
    <col min="17" max="17" width="10.5555555555556" style="1"/>
    <col min="18" max="18" width="14.3333333333333" style="1"/>
    <col min="19" max="19" width="11.6666666666667" style="1" customWidth="1"/>
    <col min="20" max="20" width="13.8888888888889" style="1" customWidth="1"/>
    <col min="21" max="21" width="12" style="1" customWidth="1"/>
    <col min="22" max="22" width="8.88888888888889" style="1"/>
    <col min="23" max="23" width="10.5555555555556" style="1"/>
    <col min="24" max="24" width="14.3333333333333" style="1"/>
    <col min="25" max="16384" width="8.88888888888889" style="1"/>
  </cols>
  <sheetData>
    <row r="1" spans="1:26">
      <c r="A1" s="3" t="s">
        <v>0</v>
      </c>
      <c r="B1" s="3"/>
      <c r="C1" s="3"/>
      <c r="D1" s="4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>
      <c r="A2" s="3"/>
      <c r="B2" s="3"/>
      <c r="C2" s="3"/>
      <c r="D2" s="4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0" customHeight="1" spans="1:26">
      <c r="A3" s="5" t="s">
        <v>1</v>
      </c>
      <c r="B3" s="6" t="s">
        <v>2</v>
      </c>
      <c r="C3" s="6" t="s">
        <v>3</v>
      </c>
      <c r="D3" s="6" t="s">
        <v>4</v>
      </c>
      <c r="E3" s="7" t="s">
        <v>5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53" customHeight="1" spans="1:26">
      <c r="A4" s="5"/>
      <c r="B4" s="6"/>
      <c r="C4" s="6"/>
      <c r="D4" s="6"/>
      <c r="E4" s="6" t="s">
        <v>6</v>
      </c>
      <c r="F4" s="6"/>
      <c r="G4" s="6"/>
      <c r="H4" s="6"/>
      <c r="I4" s="6"/>
      <c r="J4" s="15"/>
      <c r="K4" s="15" t="s">
        <v>7</v>
      </c>
      <c r="L4" s="15"/>
      <c r="M4" s="16"/>
      <c r="N4" s="16" t="s">
        <v>8</v>
      </c>
      <c r="O4" s="16"/>
      <c r="P4" s="17"/>
      <c r="Q4" s="17" t="s">
        <v>9</v>
      </c>
      <c r="R4" s="17"/>
      <c r="S4" s="21"/>
      <c r="T4" s="21" t="s">
        <v>10</v>
      </c>
      <c r="U4" s="21"/>
      <c r="V4" s="22"/>
      <c r="W4" s="22" t="s">
        <v>11</v>
      </c>
      <c r="X4" s="22"/>
      <c r="Y4" s="24" t="s">
        <v>12</v>
      </c>
      <c r="Z4" s="24" t="s">
        <v>13</v>
      </c>
    </row>
    <row r="5" ht="109.2" spans="1:26">
      <c r="A5" s="5"/>
      <c r="B5" s="6"/>
      <c r="C5" s="6"/>
      <c r="D5" s="6"/>
      <c r="E5" s="6" t="s">
        <v>14</v>
      </c>
      <c r="F5" s="6" t="s">
        <v>15</v>
      </c>
      <c r="G5" s="6" t="s">
        <v>16</v>
      </c>
      <c r="H5" s="6" t="s">
        <v>17</v>
      </c>
      <c r="I5" s="6" t="s">
        <v>18</v>
      </c>
      <c r="J5" s="18" t="s">
        <v>19</v>
      </c>
      <c r="K5" s="18" t="s">
        <v>18</v>
      </c>
      <c r="L5" s="18" t="s">
        <v>20</v>
      </c>
      <c r="M5" s="19" t="s">
        <v>21</v>
      </c>
      <c r="N5" s="19" t="s">
        <v>18</v>
      </c>
      <c r="O5" s="19" t="s">
        <v>20</v>
      </c>
      <c r="P5" s="20" t="s">
        <v>21</v>
      </c>
      <c r="Q5" s="20" t="s">
        <v>18</v>
      </c>
      <c r="R5" s="20" t="s">
        <v>20</v>
      </c>
      <c r="S5" s="23" t="s">
        <v>21</v>
      </c>
      <c r="T5" s="23" t="s">
        <v>18</v>
      </c>
      <c r="U5" s="23" t="s">
        <v>20</v>
      </c>
      <c r="V5" s="6" t="s">
        <v>21</v>
      </c>
      <c r="W5" s="6" t="s">
        <v>18</v>
      </c>
      <c r="X5" s="6" t="s">
        <v>20</v>
      </c>
      <c r="Y5" s="25"/>
      <c r="Z5" s="25"/>
    </row>
    <row r="6" ht="30" customHeight="1" spans="1:26">
      <c r="A6" s="7" t="s">
        <v>22</v>
      </c>
      <c r="B6" s="8" t="s">
        <v>23</v>
      </c>
      <c r="C6" s="8" t="s">
        <v>24</v>
      </c>
      <c r="D6" s="8" t="s">
        <v>25</v>
      </c>
      <c r="E6" s="8" t="s">
        <v>26</v>
      </c>
      <c r="F6" s="8" t="s">
        <v>27</v>
      </c>
      <c r="G6" s="8" t="s">
        <v>28</v>
      </c>
      <c r="H6" s="8" t="s">
        <v>29</v>
      </c>
      <c r="I6" s="8" t="s">
        <v>30</v>
      </c>
      <c r="J6" s="8" t="s">
        <v>31</v>
      </c>
      <c r="K6" s="8" t="s">
        <v>32</v>
      </c>
      <c r="L6" s="8" t="s">
        <v>33</v>
      </c>
      <c r="M6" s="7" t="s">
        <v>34</v>
      </c>
      <c r="N6" s="7" t="s">
        <v>35</v>
      </c>
      <c r="O6" s="7" t="s">
        <v>36</v>
      </c>
      <c r="P6" s="7" t="s">
        <v>37</v>
      </c>
      <c r="Q6" s="7" t="s">
        <v>38</v>
      </c>
      <c r="R6" s="7" t="s">
        <v>39</v>
      </c>
      <c r="S6" s="7" t="s">
        <v>40</v>
      </c>
      <c r="T6" s="7" t="s">
        <v>41</v>
      </c>
      <c r="U6" s="7" t="s">
        <v>42</v>
      </c>
      <c r="V6" s="7" t="s">
        <v>43</v>
      </c>
      <c r="W6" s="7" t="s">
        <v>44</v>
      </c>
      <c r="X6" s="7" t="s">
        <v>45</v>
      </c>
      <c r="Y6" s="26" t="s">
        <v>46</v>
      </c>
      <c r="Z6" s="26" t="s">
        <v>47</v>
      </c>
    </row>
    <row r="7" ht="15.6" spans="1:26">
      <c r="A7" s="9">
        <v>1</v>
      </c>
      <c r="B7" s="10"/>
      <c r="C7" s="10"/>
      <c r="D7" s="11"/>
      <c r="E7" s="10"/>
      <c r="F7" s="10"/>
      <c r="G7" s="10"/>
      <c r="H7" s="10"/>
      <c r="I7" s="10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15.6" spans="1:26">
      <c r="A8" s="12"/>
      <c r="B8" s="10">
        <v>11.39</v>
      </c>
      <c r="C8" s="10"/>
      <c r="D8" s="13" t="s">
        <v>48</v>
      </c>
      <c r="E8" s="10"/>
      <c r="F8" s="10"/>
      <c r="G8" s="10"/>
      <c r="H8" s="10"/>
      <c r="I8" s="10"/>
      <c r="J8" s="14">
        <v>1</v>
      </c>
      <c r="K8" s="14">
        <v>0.15428</v>
      </c>
      <c r="L8" s="14"/>
      <c r="M8" s="14">
        <v>0</v>
      </c>
      <c r="N8" s="14">
        <v>0</v>
      </c>
      <c r="O8" s="14">
        <f>N8/K8</f>
        <v>0</v>
      </c>
      <c r="P8" s="14">
        <v>0</v>
      </c>
      <c r="Q8" s="14">
        <v>0</v>
      </c>
      <c r="R8" s="14">
        <f>Q8/K8</f>
        <v>0</v>
      </c>
      <c r="S8" s="14">
        <v>1</v>
      </c>
      <c r="T8" s="14">
        <v>0.15428</v>
      </c>
      <c r="U8" s="14">
        <f>T8/K8</f>
        <v>1</v>
      </c>
      <c r="V8" s="14">
        <v>0</v>
      </c>
      <c r="W8" s="14">
        <v>0</v>
      </c>
      <c r="X8" s="14">
        <f>W8/K8</f>
        <v>0</v>
      </c>
      <c r="Y8" s="14"/>
      <c r="Z8" s="14"/>
    </row>
    <row r="9" ht="15.6" spans="1:26">
      <c r="A9" s="12"/>
      <c r="B9" s="14"/>
      <c r="C9" s="14"/>
      <c r="D9" s="11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15.6" spans="1:26">
      <c r="A10" s="12"/>
      <c r="B10" s="10">
        <v>63.95</v>
      </c>
      <c r="C10" s="10"/>
      <c r="D10" s="13" t="s">
        <v>49</v>
      </c>
      <c r="E10" s="10"/>
      <c r="F10" s="10"/>
      <c r="G10" s="10"/>
      <c r="H10" s="10"/>
      <c r="I10" s="10"/>
      <c r="J10" s="14">
        <v>2</v>
      </c>
      <c r="K10" s="14">
        <v>0.251097</v>
      </c>
      <c r="L10" s="14"/>
      <c r="M10" s="14">
        <v>0</v>
      </c>
      <c r="N10" s="14">
        <v>0</v>
      </c>
      <c r="O10" s="14">
        <f>N10/K10</f>
        <v>0</v>
      </c>
      <c r="P10" s="14">
        <v>0</v>
      </c>
      <c r="Q10" s="14">
        <v>0</v>
      </c>
      <c r="R10" s="14">
        <f>Q10/K10</f>
        <v>0</v>
      </c>
      <c r="S10" s="14">
        <v>2</v>
      </c>
      <c r="T10" s="14">
        <v>0.251097</v>
      </c>
      <c r="U10" s="14">
        <f>T10/K10</f>
        <v>1</v>
      </c>
      <c r="V10" s="14">
        <v>0</v>
      </c>
      <c r="W10" s="14">
        <v>0</v>
      </c>
      <c r="X10" s="14">
        <f>W10/K10</f>
        <v>0</v>
      </c>
      <c r="Y10" s="14"/>
      <c r="Z10" s="14"/>
    </row>
    <row r="11" ht="15.6" spans="1:26">
      <c r="A11" s="12"/>
      <c r="B11" s="14"/>
      <c r="C11" s="14"/>
      <c r="D11" s="11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15.6" spans="1:26">
      <c r="A12" s="9">
        <v>3</v>
      </c>
      <c r="B12" s="10"/>
      <c r="C12" s="10"/>
      <c r="D12" s="11"/>
      <c r="E12" s="10"/>
      <c r="F12" s="10"/>
      <c r="G12" s="10"/>
      <c r="H12" s="10"/>
      <c r="I12" s="10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15.6" spans="1:26">
      <c r="A13" s="12"/>
      <c r="B13" s="10">
        <v>140.27</v>
      </c>
      <c r="C13" s="10"/>
      <c r="D13" s="13" t="s">
        <v>49</v>
      </c>
      <c r="E13" s="10"/>
      <c r="F13" s="10"/>
      <c r="G13" s="10"/>
      <c r="H13" s="10"/>
      <c r="I13" s="10"/>
      <c r="J13" s="14">
        <v>49</v>
      </c>
      <c r="K13" s="14">
        <v>1.836645</v>
      </c>
      <c r="L13" s="14"/>
      <c r="M13" s="14">
        <v>0</v>
      </c>
      <c r="N13" s="14">
        <v>0</v>
      </c>
      <c r="O13" s="14">
        <f>N13/K13</f>
        <v>0</v>
      </c>
      <c r="P13" s="14">
        <v>0</v>
      </c>
      <c r="Q13" s="14">
        <v>0</v>
      </c>
      <c r="R13" s="14">
        <f>Q13/K13</f>
        <v>0</v>
      </c>
      <c r="S13" s="14">
        <v>44</v>
      </c>
      <c r="T13" s="14">
        <v>1.74749</v>
      </c>
      <c r="U13" s="14">
        <f>T13/K13</f>
        <v>0.95145768507251</v>
      </c>
      <c r="V13" s="14">
        <v>5</v>
      </c>
      <c r="W13" s="14">
        <v>0.089155</v>
      </c>
      <c r="X13" s="14">
        <f>W13/K13</f>
        <v>0.0485423149274901</v>
      </c>
      <c r="Y13" s="14"/>
      <c r="Z13" s="14"/>
    </row>
    <row r="14" ht="15.6" spans="1:26">
      <c r="A14" s="12"/>
      <c r="B14" s="14"/>
      <c r="C14" s="14"/>
      <c r="D14" s="11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15.6" spans="1:26">
      <c r="A15" s="9">
        <v>4</v>
      </c>
      <c r="B15" s="10"/>
      <c r="C15" s="10"/>
      <c r="D15" s="11"/>
      <c r="E15" s="10"/>
      <c r="F15" s="10"/>
      <c r="G15" s="10"/>
      <c r="H15" s="10"/>
      <c r="I15" s="10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15.6" spans="1:26">
      <c r="A16" s="12"/>
      <c r="B16" s="10">
        <v>157.86</v>
      </c>
      <c r="C16" s="10"/>
      <c r="D16" s="13" t="s">
        <v>49</v>
      </c>
      <c r="E16" s="10"/>
      <c r="F16" s="10"/>
      <c r="G16" s="10"/>
      <c r="H16" s="10"/>
      <c r="I16" s="10"/>
      <c r="J16" s="14">
        <v>73</v>
      </c>
      <c r="K16" s="14">
        <v>2.040816</v>
      </c>
      <c r="L16" s="14"/>
      <c r="M16" s="14">
        <v>0</v>
      </c>
      <c r="N16" s="14">
        <v>0</v>
      </c>
      <c r="O16" s="14">
        <f>N16/K16</f>
        <v>0</v>
      </c>
      <c r="P16" s="14">
        <v>0</v>
      </c>
      <c r="Q16" s="14">
        <v>0</v>
      </c>
      <c r="R16" s="14">
        <f>Q16/K16</f>
        <v>0</v>
      </c>
      <c r="S16" s="14">
        <v>65</v>
      </c>
      <c r="T16" s="14">
        <v>1.785189</v>
      </c>
      <c r="U16" s="14">
        <f>T16/K16</f>
        <v>0.87474274995884</v>
      </c>
      <c r="V16" s="14">
        <v>8</v>
      </c>
      <c r="W16" s="14">
        <v>0.255627</v>
      </c>
      <c r="X16" s="14">
        <f>W16/K16</f>
        <v>0.12525725004116</v>
      </c>
      <c r="Y16" s="14"/>
      <c r="Z16" s="14"/>
    </row>
    <row r="17" ht="15.6" spans="1:26">
      <c r="A17" s="12"/>
      <c r="B17" s="14"/>
      <c r="C17" s="14"/>
      <c r="D17" s="11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15.6" spans="1:26">
      <c r="A18" s="9">
        <v>5</v>
      </c>
      <c r="B18" s="10"/>
      <c r="C18" s="10"/>
      <c r="D18" s="11"/>
      <c r="E18" s="10"/>
      <c r="F18" s="10"/>
      <c r="G18" s="10"/>
      <c r="H18" s="10"/>
      <c r="I18" s="10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15.6" spans="1:26">
      <c r="A19" s="12"/>
      <c r="B19" s="10">
        <v>115.51</v>
      </c>
      <c r="C19" s="10"/>
      <c r="D19" s="13" t="s">
        <v>49</v>
      </c>
      <c r="E19" s="10"/>
      <c r="F19" s="10"/>
      <c r="G19" s="10"/>
      <c r="H19" s="10"/>
      <c r="I19" s="10"/>
      <c r="J19" s="14">
        <v>10</v>
      </c>
      <c r="K19" s="14">
        <v>0.456822</v>
      </c>
      <c r="L19" s="14"/>
      <c r="M19" s="14">
        <v>0</v>
      </c>
      <c r="N19" s="14">
        <v>0</v>
      </c>
      <c r="O19" s="14">
        <f>N19/K19</f>
        <v>0</v>
      </c>
      <c r="P19" s="14">
        <v>0</v>
      </c>
      <c r="Q19" s="14">
        <v>0</v>
      </c>
      <c r="R19" s="14">
        <f>Q19/K19</f>
        <v>0</v>
      </c>
      <c r="S19" s="14">
        <v>9</v>
      </c>
      <c r="T19" s="14">
        <v>0.377625</v>
      </c>
      <c r="U19" s="14">
        <f>T19/K19</f>
        <v>0.826634881857704</v>
      </c>
      <c r="V19" s="14">
        <v>1</v>
      </c>
      <c r="W19" s="14">
        <v>0.079197</v>
      </c>
      <c r="X19" s="14">
        <f>W19/K19</f>
        <v>0.173365118142296</v>
      </c>
      <c r="Y19" s="14"/>
      <c r="Z19" s="14"/>
    </row>
    <row r="20" ht="15.6" spans="1:26">
      <c r="A20" s="12"/>
      <c r="B20" s="14"/>
      <c r="C20" s="14"/>
      <c r="D20" s="11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5.6" spans="1:26">
      <c r="A21" s="9">
        <v>6</v>
      </c>
      <c r="B21" s="10"/>
      <c r="C21" s="10"/>
      <c r="D21" s="11"/>
      <c r="E21" s="10"/>
      <c r="F21" s="10"/>
      <c r="G21" s="10"/>
      <c r="H21" s="10"/>
      <c r="I21" s="10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31.2" spans="1:26">
      <c r="A22" s="12"/>
      <c r="B22" s="10">
        <v>10.52</v>
      </c>
      <c r="C22" s="10"/>
      <c r="D22" s="13" t="s">
        <v>50</v>
      </c>
      <c r="E22" s="10"/>
      <c r="F22" s="10"/>
      <c r="G22" s="10"/>
      <c r="H22" s="10"/>
      <c r="I22" s="10"/>
      <c r="J22" s="14">
        <v>3</v>
      </c>
      <c r="K22" s="14">
        <v>0.04253</v>
      </c>
      <c r="L22" s="14"/>
      <c r="M22" s="14">
        <v>0</v>
      </c>
      <c r="N22" s="14">
        <v>0</v>
      </c>
      <c r="O22" s="14">
        <f>N22/K22</f>
        <v>0</v>
      </c>
      <c r="P22" s="14"/>
      <c r="Q22" s="14">
        <v>0</v>
      </c>
      <c r="R22" s="14">
        <f>Q22/K22</f>
        <v>0</v>
      </c>
      <c r="S22" s="14">
        <v>3</v>
      </c>
      <c r="T22" s="14">
        <v>0.04253</v>
      </c>
      <c r="U22" s="14">
        <f>T22/K22</f>
        <v>1</v>
      </c>
      <c r="V22" s="14">
        <v>0</v>
      </c>
      <c r="W22" s="14">
        <v>0</v>
      </c>
      <c r="X22" s="14">
        <f>W22/K22</f>
        <v>0</v>
      </c>
      <c r="Y22" s="14"/>
      <c r="Z22" s="14"/>
    </row>
    <row r="23" ht="15.6" spans="1:26">
      <c r="A23" s="12"/>
      <c r="B23" s="14"/>
      <c r="C23" s="14"/>
      <c r="D23" s="11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5.6" spans="1:26">
      <c r="A24" s="12"/>
      <c r="B24" s="10">
        <v>29.7</v>
      </c>
      <c r="C24" s="10"/>
      <c r="D24" s="13" t="s">
        <v>51</v>
      </c>
      <c r="E24" s="10"/>
      <c r="F24" s="10"/>
      <c r="G24" s="10"/>
      <c r="H24" s="10"/>
      <c r="I24" s="10"/>
      <c r="J24" s="14">
        <v>1</v>
      </c>
      <c r="K24" s="14">
        <v>0.018408</v>
      </c>
      <c r="L24" s="14"/>
      <c r="M24" s="14">
        <v>0</v>
      </c>
      <c r="N24" s="14">
        <v>0</v>
      </c>
      <c r="O24" s="14">
        <f>N24/K24</f>
        <v>0</v>
      </c>
      <c r="P24" s="14"/>
      <c r="Q24" s="14">
        <v>0</v>
      </c>
      <c r="R24" s="14">
        <f>Q24/K24</f>
        <v>0</v>
      </c>
      <c r="S24" s="14">
        <v>0</v>
      </c>
      <c r="T24" s="14">
        <v>0</v>
      </c>
      <c r="U24" s="14">
        <f>T24/K24</f>
        <v>0</v>
      </c>
      <c r="V24" s="14">
        <v>1</v>
      </c>
      <c r="W24" s="14">
        <v>0.018408</v>
      </c>
      <c r="X24" s="14">
        <f>W24/K24</f>
        <v>1</v>
      </c>
      <c r="Y24" s="14"/>
      <c r="Z24" s="14"/>
    </row>
    <row r="25" ht="15.6" spans="1:26">
      <c r="A25" s="12"/>
      <c r="B25" s="14"/>
      <c r="C25" s="14"/>
      <c r="D25" s="11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5.6" spans="1:26">
      <c r="A26" s="12"/>
      <c r="B26" s="10">
        <v>147.59</v>
      </c>
      <c r="C26" s="10"/>
      <c r="D26" s="13" t="s">
        <v>49</v>
      </c>
      <c r="E26" s="10"/>
      <c r="F26" s="10"/>
      <c r="G26" s="10"/>
      <c r="H26" s="10"/>
      <c r="I26" s="10"/>
      <c r="J26" s="14">
        <v>22</v>
      </c>
      <c r="K26" s="14">
        <v>6.292375</v>
      </c>
      <c r="L26" s="14"/>
      <c r="M26" s="14">
        <v>0</v>
      </c>
      <c r="N26" s="14">
        <v>0</v>
      </c>
      <c r="O26" s="14">
        <f>N26/K26</f>
        <v>0</v>
      </c>
      <c r="P26" s="14">
        <v>1</v>
      </c>
      <c r="Q26" s="14">
        <v>5.840304</v>
      </c>
      <c r="R26" s="14">
        <f>Q26/K26</f>
        <v>0.928155744055305</v>
      </c>
      <c r="S26" s="14">
        <v>17</v>
      </c>
      <c r="T26" s="14">
        <v>0.384871</v>
      </c>
      <c r="U26" s="14">
        <f>T26/K26</f>
        <v>0.0611646635809214</v>
      </c>
      <c r="V26" s="14">
        <v>4</v>
      </c>
      <c r="W26" s="14">
        <v>0.0672</v>
      </c>
      <c r="X26" s="14">
        <f>W26/K26</f>
        <v>0.0106795923637736</v>
      </c>
      <c r="Y26" s="14"/>
      <c r="Z26" s="14"/>
    </row>
    <row r="27" ht="15.6" spans="1:26">
      <c r="A27" s="12"/>
      <c r="B27" s="14"/>
      <c r="C27" s="14"/>
      <c r="D27" s="11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15.6" spans="1:26">
      <c r="A28" s="9">
        <v>7</v>
      </c>
      <c r="B28" s="10"/>
      <c r="C28" s="10"/>
      <c r="D28" s="11"/>
      <c r="E28" s="10"/>
      <c r="F28" s="10"/>
      <c r="G28" s="10"/>
      <c r="H28" s="10"/>
      <c r="I28" s="10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5.6" spans="1:26">
      <c r="A29" s="12"/>
      <c r="B29" s="10">
        <v>59.66</v>
      </c>
      <c r="C29" s="10"/>
      <c r="D29" s="13" t="s">
        <v>52</v>
      </c>
      <c r="E29" s="10"/>
      <c r="F29" s="10"/>
      <c r="G29" s="10"/>
      <c r="H29" s="10"/>
      <c r="I29" s="10"/>
      <c r="J29" s="14">
        <v>27</v>
      </c>
      <c r="K29" s="14">
        <f>SUM(Q29,T29,W29)</f>
        <v>0.915223</v>
      </c>
      <c r="L29" s="14"/>
      <c r="M29" s="14">
        <v>0</v>
      </c>
      <c r="N29" s="14">
        <v>0</v>
      </c>
      <c r="O29" s="14">
        <f>N29/K29</f>
        <v>0</v>
      </c>
      <c r="P29" s="14">
        <v>1</v>
      </c>
      <c r="Q29" s="14">
        <v>0.104895</v>
      </c>
      <c r="R29" s="14">
        <f>Q29/K29</f>
        <v>0.114611411645031</v>
      </c>
      <c r="S29" s="14">
        <v>19</v>
      </c>
      <c r="T29" s="14">
        <v>0.460993</v>
      </c>
      <c r="U29" s="14">
        <f>T29/K29</f>
        <v>0.503694727951548</v>
      </c>
      <c r="V29" s="14">
        <v>7</v>
      </c>
      <c r="W29" s="14">
        <v>0.349335</v>
      </c>
      <c r="X29" s="14">
        <f>W29/K29</f>
        <v>0.381693860403421</v>
      </c>
      <c r="Y29" s="14"/>
      <c r="Z29" s="14"/>
    </row>
    <row r="30" ht="15.6" spans="1:26">
      <c r="A30" s="12"/>
      <c r="B30" s="14"/>
      <c r="C30" s="14"/>
      <c r="D30" s="11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31.2" spans="1:26">
      <c r="A31" s="12"/>
      <c r="B31" s="10">
        <v>87.21</v>
      </c>
      <c r="C31" s="10"/>
      <c r="D31" s="13" t="s">
        <v>53</v>
      </c>
      <c r="E31" s="10"/>
      <c r="F31" s="10"/>
      <c r="G31" s="10"/>
      <c r="H31" s="10"/>
      <c r="I31" s="10"/>
      <c r="J31" s="14">
        <v>2</v>
      </c>
      <c r="K31" s="14">
        <v>0.724164</v>
      </c>
      <c r="L31" s="14"/>
      <c r="M31" s="14">
        <v>0</v>
      </c>
      <c r="N31" s="14">
        <v>0</v>
      </c>
      <c r="O31" s="14">
        <f>N31/K31</f>
        <v>0</v>
      </c>
      <c r="P31" s="14">
        <v>0</v>
      </c>
      <c r="Q31" s="14">
        <v>0</v>
      </c>
      <c r="R31" s="14">
        <f>Q31/K31</f>
        <v>0</v>
      </c>
      <c r="S31" s="14">
        <v>0</v>
      </c>
      <c r="T31" s="14">
        <v>0</v>
      </c>
      <c r="U31" s="14">
        <f>T31/K31</f>
        <v>0</v>
      </c>
      <c r="V31" s="14">
        <v>0</v>
      </c>
      <c r="W31" s="14">
        <v>0</v>
      </c>
      <c r="X31" s="14">
        <f>W31/K31</f>
        <v>0</v>
      </c>
      <c r="Y31" s="14"/>
      <c r="Z31" s="14"/>
    </row>
    <row r="32" ht="15.6" spans="1:26">
      <c r="A32" s="12"/>
      <c r="B32" s="14"/>
      <c r="C32" s="14"/>
      <c r="D32" s="11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15.6" spans="1:26">
      <c r="A33" s="12"/>
      <c r="B33" s="10">
        <v>179.29</v>
      </c>
      <c r="C33" s="10"/>
      <c r="D33" s="13" t="s">
        <v>49</v>
      </c>
      <c r="E33" s="10"/>
      <c r="F33" s="10"/>
      <c r="G33" s="10"/>
      <c r="H33" s="10"/>
      <c r="I33" s="10"/>
      <c r="J33" s="14">
        <v>8</v>
      </c>
      <c r="K33" s="14">
        <f>SUM(Q33,T33,W33)</f>
        <v>1.77964</v>
      </c>
      <c r="L33" s="14"/>
      <c r="M33" s="14">
        <v>0</v>
      </c>
      <c r="N33" s="14">
        <v>0</v>
      </c>
      <c r="O33" s="14">
        <f>N33/K33</f>
        <v>0</v>
      </c>
      <c r="P33" s="14">
        <v>1</v>
      </c>
      <c r="Q33" s="14">
        <v>0.16</v>
      </c>
      <c r="R33" s="14">
        <f>Q33/K33</f>
        <v>0.0899058236497269</v>
      </c>
      <c r="S33" s="14">
        <v>6</v>
      </c>
      <c r="T33" s="14">
        <v>1.374497</v>
      </c>
      <c r="U33" s="14">
        <f>T33/K33</f>
        <v>0.772345530556742</v>
      </c>
      <c r="V33" s="14">
        <v>1</v>
      </c>
      <c r="W33" s="14">
        <v>0.245143</v>
      </c>
      <c r="X33" s="14">
        <f>W33/K33</f>
        <v>0.137748645793531</v>
      </c>
      <c r="Y33" s="14"/>
      <c r="Z33" s="14"/>
    </row>
    <row r="34" ht="15.6" spans="1:26">
      <c r="A34" s="12"/>
      <c r="B34" s="14"/>
      <c r="C34" s="14"/>
      <c r="D34" s="11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15.6" spans="1:26">
      <c r="A35" s="9">
        <v>8</v>
      </c>
      <c r="B35" s="10"/>
      <c r="C35" s="10"/>
      <c r="D35" s="11"/>
      <c r="E35" s="10"/>
      <c r="F35" s="10"/>
      <c r="G35" s="10"/>
      <c r="H35" s="10"/>
      <c r="I35" s="10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15.6" spans="1:26">
      <c r="A36" s="12"/>
      <c r="B36" s="10">
        <v>60.1</v>
      </c>
      <c r="C36" s="10"/>
      <c r="D36" s="13" t="s">
        <v>54</v>
      </c>
      <c r="E36" s="10"/>
      <c r="F36" s="10"/>
      <c r="G36" s="10"/>
      <c r="H36" s="10"/>
      <c r="I36" s="10"/>
      <c r="J36" s="14">
        <v>63</v>
      </c>
      <c r="K36" s="14">
        <v>1.693048</v>
      </c>
      <c r="L36" s="14"/>
      <c r="M36" s="14">
        <v>0</v>
      </c>
      <c r="N36" s="14">
        <v>0</v>
      </c>
      <c r="O36" s="14">
        <f>N36/K36</f>
        <v>0</v>
      </c>
      <c r="P36" s="14">
        <v>0</v>
      </c>
      <c r="Q36" s="14">
        <v>0</v>
      </c>
      <c r="R36" s="14">
        <f>Q36/K36</f>
        <v>0</v>
      </c>
      <c r="S36" s="14">
        <v>54</v>
      </c>
      <c r="T36" s="14">
        <v>1.521165</v>
      </c>
      <c r="U36" s="14">
        <f>T36/K36</f>
        <v>0.898477184344449</v>
      </c>
      <c r="V36" s="14">
        <v>9</v>
      </c>
      <c r="W36" s="14">
        <v>0.171883</v>
      </c>
      <c r="X36" s="14">
        <f>W36/K36</f>
        <v>0.101522815655551</v>
      </c>
      <c r="Y36" s="14"/>
      <c r="Z36" s="14"/>
    </row>
    <row r="37" ht="15.6" spans="1:26">
      <c r="A37" s="12"/>
      <c r="B37" s="14"/>
      <c r="C37" s="14"/>
      <c r="D37" s="11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5.6" spans="1:26">
      <c r="A38" s="12"/>
      <c r="B38" s="10">
        <v>154.35</v>
      </c>
      <c r="C38" s="10"/>
      <c r="D38" s="13" t="s">
        <v>48</v>
      </c>
      <c r="E38" s="10"/>
      <c r="F38" s="10"/>
      <c r="G38" s="10"/>
      <c r="H38" s="10"/>
      <c r="I38" s="10"/>
      <c r="J38" s="14">
        <v>108</v>
      </c>
      <c r="K38" s="14">
        <v>5.397014</v>
      </c>
      <c r="L38" s="14"/>
      <c r="M38" s="14">
        <v>0</v>
      </c>
      <c r="N38" s="14">
        <v>0</v>
      </c>
      <c r="O38" s="14">
        <f>N38/K38</f>
        <v>0</v>
      </c>
      <c r="P38" s="14">
        <v>0</v>
      </c>
      <c r="Q38" s="14">
        <v>0</v>
      </c>
      <c r="R38" s="14">
        <f>Q38/K38</f>
        <v>0</v>
      </c>
      <c r="S38" s="14">
        <v>97</v>
      </c>
      <c r="T38" s="14">
        <v>4.780988</v>
      </c>
      <c r="U38" s="14">
        <f>T38/K38</f>
        <v>0.885857994809722</v>
      </c>
      <c r="V38" s="14">
        <v>11</v>
      </c>
      <c r="W38" s="14">
        <v>0.616026</v>
      </c>
      <c r="X38" s="14">
        <f>W38/K38</f>
        <v>0.114142005190277</v>
      </c>
      <c r="Y38" s="14"/>
      <c r="Z38" s="14"/>
    </row>
    <row r="39" ht="15.6" spans="1:26">
      <c r="A39" s="12"/>
      <c r="B39" s="14"/>
      <c r="C39" s="14"/>
      <c r="D39" s="11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5.6" spans="1:26">
      <c r="A40" s="9">
        <v>9</v>
      </c>
      <c r="B40" s="10"/>
      <c r="C40" s="10"/>
      <c r="D40" s="11"/>
      <c r="E40" s="10"/>
      <c r="F40" s="10"/>
      <c r="G40" s="10"/>
      <c r="H40" s="10"/>
      <c r="I40" s="10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15.6" spans="1:26">
      <c r="A41" s="12"/>
      <c r="B41" s="10">
        <v>100.7</v>
      </c>
      <c r="C41" s="10"/>
      <c r="D41" s="13" t="s">
        <v>49</v>
      </c>
      <c r="E41" s="10"/>
      <c r="F41" s="10"/>
      <c r="G41" s="10"/>
      <c r="H41" s="10"/>
      <c r="I41" s="10"/>
      <c r="J41" s="14">
        <v>180</v>
      </c>
      <c r="K41" s="14">
        <v>4.231345</v>
      </c>
      <c r="L41" s="14"/>
      <c r="M41" s="14">
        <v>0</v>
      </c>
      <c r="N41" s="14">
        <v>0</v>
      </c>
      <c r="O41" s="14">
        <f>N41/K41</f>
        <v>0</v>
      </c>
      <c r="P41" s="14">
        <v>0</v>
      </c>
      <c r="Q41" s="14">
        <v>0</v>
      </c>
      <c r="R41" s="14">
        <f>Q41/K41</f>
        <v>0</v>
      </c>
      <c r="S41" s="14">
        <v>163</v>
      </c>
      <c r="T41" s="14">
        <v>3.853282</v>
      </c>
      <c r="U41" s="14">
        <f>T41/K41</f>
        <v>0.91065181402131</v>
      </c>
      <c r="V41" s="14">
        <v>17</v>
      </c>
      <c r="W41" s="14">
        <v>0.378063</v>
      </c>
      <c r="X41" s="14">
        <f>W41/K41</f>
        <v>0.08934818597869</v>
      </c>
      <c r="Y41" s="14"/>
      <c r="Z41" s="14"/>
    </row>
    <row r="42" ht="15.6" spans="1:26">
      <c r="A42" s="12"/>
      <c r="B42" s="14"/>
      <c r="C42" s="14"/>
      <c r="D42" s="11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15.6" spans="1:26">
      <c r="A43" s="9">
        <v>10</v>
      </c>
      <c r="B43" s="10"/>
      <c r="C43" s="10"/>
      <c r="D43" s="11"/>
      <c r="E43" s="10"/>
      <c r="F43" s="10"/>
      <c r="G43" s="10"/>
      <c r="H43" s="10"/>
      <c r="I43" s="10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15.6" spans="1:26">
      <c r="A44" s="12"/>
      <c r="B44" s="10">
        <v>77.66</v>
      </c>
      <c r="C44" s="10"/>
      <c r="D44" s="13" t="s">
        <v>49</v>
      </c>
      <c r="E44" s="10"/>
      <c r="F44" s="10"/>
      <c r="G44" s="10"/>
      <c r="H44" s="10"/>
      <c r="I44" s="10"/>
      <c r="J44" s="14">
        <f>SUM(P44,S44,V44)</f>
        <v>327</v>
      </c>
      <c r="K44" s="14">
        <f>SUM(Q44,T44,W44)</f>
        <v>8.278098</v>
      </c>
      <c r="L44" s="14"/>
      <c r="M44" s="14">
        <v>0</v>
      </c>
      <c r="N44" s="14">
        <v>0</v>
      </c>
      <c r="O44" s="14">
        <f>N44/K44</f>
        <v>0</v>
      </c>
      <c r="P44" s="14">
        <v>1</v>
      </c>
      <c r="Q44" s="14">
        <v>0.090112</v>
      </c>
      <c r="R44" s="14">
        <f>Q44/K44</f>
        <v>0.0108855923184287</v>
      </c>
      <c r="S44" s="14">
        <v>279</v>
      </c>
      <c r="T44" s="14">
        <v>7.145215</v>
      </c>
      <c r="U44" s="14">
        <f>T44/K44</f>
        <v>0.863146945107439</v>
      </c>
      <c r="V44" s="14">
        <v>47</v>
      </c>
      <c r="W44" s="14">
        <v>1.042771</v>
      </c>
      <c r="X44" s="14">
        <f>W44/K44</f>
        <v>0.125967462574132</v>
      </c>
      <c r="Y44" s="14"/>
      <c r="Z44" s="14"/>
    </row>
    <row r="45" ht="15.6" spans="1:26">
      <c r="A45" s="12"/>
      <c r="B45" s="14"/>
      <c r="C45" s="14"/>
      <c r="D45" s="11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15.6" spans="1:26">
      <c r="A46" s="9">
        <v>11</v>
      </c>
      <c r="B46" s="10"/>
      <c r="C46" s="10"/>
      <c r="D46" s="11"/>
      <c r="E46" s="10"/>
      <c r="F46" s="10"/>
      <c r="G46" s="10"/>
      <c r="H46" s="10"/>
      <c r="I46" s="10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15.6" spans="1:26">
      <c r="A47" s="12"/>
      <c r="B47" s="10">
        <v>64.43</v>
      </c>
      <c r="C47" s="10"/>
      <c r="D47" s="13" t="s">
        <v>54</v>
      </c>
      <c r="E47" s="10"/>
      <c r="F47" s="10"/>
      <c r="G47" s="10"/>
      <c r="H47" s="10"/>
      <c r="I47" s="10"/>
      <c r="J47" s="14">
        <v>49</v>
      </c>
      <c r="K47" s="14">
        <v>0.938365</v>
      </c>
      <c r="L47" s="14"/>
      <c r="M47" s="14">
        <v>0</v>
      </c>
      <c r="N47" s="14">
        <v>0</v>
      </c>
      <c r="O47" s="14">
        <f>N47/K47</f>
        <v>0</v>
      </c>
      <c r="P47" s="14">
        <v>0</v>
      </c>
      <c r="Q47" s="14">
        <v>0</v>
      </c>
      <c r="R47" s="14">
        <f>Q47/K47</f>
        <v>0</v>
      </c>
      <c r="S47" s="14">
        <v>46</v>
      </c>
      <c r="T47" s="14">
        <v>0.874489</v>
      </c>
      <c r="U47" s="14">
        <f>T47/K47</f>
        <v>0.931928407389449</v>
      </c>
      <c r="V47" s="14">
        <v>3</v>
      </c>
      <c r="W47" s="14">
        <v>0.063876</v>
      </c>
      <c r="X47" s="14">
        <f>W47/K47</f>
        <v>0.0680715926105513</v>
      </c>
      <c r="Y47" s="14"/>
      <c r="Z47" s="14"/>
    </row>
    <row r="48" ht="15.6" spans="1:26">
      <c r="A48" s="12"/>
      <c r="B48" s="14"/>
      <c r="C48" s="14"/>
      <c r="D48" s="11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15.6" spans="1:26">
      <c r="A49" s="9">
        <v>12</v>
      </c>
      <c r="B49" s="10"/>
      <c r="C49" s="10"/>
      <c r="D49" s="11"/>
      <c r="E49" s="10"/>
      <c r="F49" s="10"/>
      <c r="G49" s="10"/>
      <c r="H49" s="10"/>
      <c r="I49" s="10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15.6" spans="1:26">
      <c r="A50" s="12"/>
      <c r="B50" s="10">
        <v>84.79</v>
      </c>
      <c r="C50" s="10"/>
      <c r="D50" s="13" t="s">
        <v>54</v>
      </c>
      <c r="E50" s="10"/>
      <c r="F50" s="10"/>
      <c r="G50" s="10"/>
      <c r="H50" s="10"/>
      <c r="I50" s="10"/>
      <c r="J50" s="14">
        <v>197</v>
      </c>
      <c r="K50" s="14">
        <v>4.410327</v>
      </c>
      <c r="L50" s="14"/>
      <c r="M50" s="14">
        <v>0</v>
      </c>
      <c r="N50" s="14">
        <v>0</v>
      </c>
      <c r="O50" s="14">
        <f>N50/K50</f>
        <v>0</v>
      </c>
      <c r="P50" s="14">
        <v>0</v>
      </c>
      <c r="Q50" s="14">
        <v>0</v>
      </c>
      <c r="R50" s="14">
        <f>Q50/K50</f>
        <v>0</v>
      </c>
      <c r="S50" s="14">
        <v>155</v>
      </c>
      <c r="T50" s="14">
        <v>3.352709</v>
      </c>
      <c r="U50" s="14">
        <f>T50/K50</f>
        <v>0.760195105714384</v>
      </c>
      <c r="V50" s="14">
        <v>42</v>
      </c>
      <c r="W50" s="14">
        <v>1.057618</v>
      </c>
      <c r="X50" s="14">
        <f>W50/K50</f>
        <v>0.239804894285616</v>
      </c>
      <c r="Y50" s="14"/>
      <c r="Z50" s="14"/>
    </row>
    <row r="51" ht="15.6" spans="1:26">
      <c r="A51" s="12"/>
      <c r="B51" s="14"/>
      <c r="C51" s="14"/>
      <c r="D51" s="11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15.6" spans="1:26">
      <c r="A52" s="9">
        <v>13</v>
      </c>
      <c r="B52" s="10"/>
      <c r="C52" s="10"/>
      <c r="D52" s="11"/>
      <c r="E52" s="10"/>
      <c r="F52" s="10"/>
      <c r="G52" s="10"/>
      <c r="H52" s="10"/>
      <c r="I52" s="10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31.2" spans="1:26">
      <c r="A53" s="12"/>
      <c r="B53" s="10">
        <v>17.11</v>
      </c>
      <c r="C53" s="10"/>
      <c r="D53" s="13" t="s">
        <v>53</v>
      </c>
      <c r="E53" s="10"/>
      <c r="F53" s="10"/>
      <c r="G53" s="10"/>
      <c r="H53" s="10"/>
      <c r="I53" s="10"/>
      <c r="J53" s="14">
        <v>5</v>
      </c>
      <c r="K53" s="14">
        <v>0.123106</v>
      </c>
      <c r="L53" s="14"/>
      <c r="M53" s="14">
        <v>0</v>
      </c>
      <c r="N53" s="14">
        <v>0</v>
      </c>
      <c r="O53" s="14">
        <f>N53/K53</f>
        <v>0</v>
      </c>
      <c r="P53" s="14">
        <v>0</v>
      </c>
      <c r="Q53" s="14">
        <v>0</v>
      </c>
      <c r="R53" s="14">
        <f>Q53/K53</f>
        <v>0</v>
      </c>
      <c r="S53" s="14">
        <v>3</v>
      </c>
      <c r="T53" s="14">
        <v>0.078331</v>
      </c>
      <c r="U53" s="14">
        <f>T53/K53</f>
        <v>0.636289051711533</v>
      </c>
      <c r="V53" s="14">
        <v>2</v>
      </c>
      <c r="W53" s="14">
        <v>0.044775</v>
      </c>
      <c r="X53" s="14">
        <f>W53/K53</f>
        <v>0.363710948288467</v>
      </c>
      <c r="Y53" s="14"/>
      <c r="Z53" s="14"/>
    </row>
    <row r="54" ht="15.6" spans="1:26">
      <c r="A54" s="12"/>
      <c r="B54" s="14"/>
      <c r="C54" s="14"/>
      <c r="D54" s="11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15.6" spans="1:26">
      <c r="A55" s="12"/>
      <c r="B55" s="10">
        <v>88.29</v>
      </c>
      <c r="C55" s="10"/>
      <c r="D55" s="13" t="s">
        <v>54</v>
      </c>
      <c r="E55" s="10"/>
      <c r="F55" s="10"/>
      <c r="G55" s="10"/>
      <c r="H55" s="10"/>
      <c r="I55" s="10"/>
      <c r="J55" s="14">
        <v>47</v>
      </c>
      <c r="K55" s="14">
        <v>1.213668</v>
      </c>
      <c r="L55" s="14"/>
      <c r="M55" s="14">
        <v>0</v>
      </c>
      <c r="N55" s="14">
        <v>0</v>
      </c>
      <c r="O55" s="14">
        <f>N55/K55</f>
        <v>0</v>
      </c>
      <c r="P55" s="14">
        <v>0</v>
      </c>
      <c r="Q55" s="14">
        <v>0</v>
      </c>
      <c r="R55" s="14">
        <f>Q55/K55</f>
        <v>0</v>
      </c>
      <c r="S55" s="14">
        <v>42</v>
      </c>
      <c r="T55" s="14">
        <v>1.118388</v>
      </c>
      <c r="U55" s="14">
        <f>T55/K55</f>
        <v>0.921494181275275</v>
      </c>
      <c r="V55" s="14">
        <v>5</v>
      </c>
      <c r="W55" s="14">
        <v>0.09528</v>
      </c>
      <c r="X55" s="14">
        <f>W55/K55</f>
        <v>0.0785058187247254</v>
      </c>
      <c r="Y55" s="14"/>
      <c r="Z55" s="14"/>
    </row>
    <row r="56" ht="15.6" spans="1:26">
      <c r="A56" s="12"/>
      <c r="B56" s="14"/>
      <c r="C56" s="14"/>
      <c r="D56" s="11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15.6" spans="1:26">
      <c r="A57" s="9">
        <v>14</v>
      </c>
      <c r="B57" s="10"/>
      <c r="C57" s="10"/>
      <c r="D57" s="11"/>
      <c r="E57" s="10"/>
      <c r="F57" s="10"/>
      <c r="G57" s="10"/>
      <c r="H57" s="10"/>
      <c r="I57" s="10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15.6" spans="1:26">
      <c r="A58" s="12"/>
      <c r="B58" s="10">
        <v>52.38</v>
      </c>
      <c r="C58" s="10"/>
      <c r="D58" s="13" t="s">
        <v>49</v>
      </c>
      <c r="E58" s="10"/>
      <c r="F58" s="10"/>
      <c r="G58" s="10"/>
      <c r="H58" s="10"/>
      <c r="I58" s="10"/>
      <c r="J58" s="14">
        <v>14</v>
      </c>
      <c r="K58" s="14">
        <v>1.175976</v>
      </c>
      <c r="L58" s="14"/>
      <c r="M58" s="14">
        <v>0</v>
      </c>
      <c r="N58" s="14">
        <v>0</v>
      </c>
      <c r="O58" s="14">
        <f>N58/K58</f>
        <v>0</v>
      </c>
      <c r="P58" s="14">
        <v>0</v>
      </c>
      <c r="Q58" s="14">
        <v>0</v>
      </c>
      <c r="R58" s="14">
        <f>Q58/K58</f>
        <v>0</v>
      </c>
      <c r="S58" s="14">
        <v>11</v>
      </c>
      <c r="T58" s="14">
        <v>1.028721</v>
      </c>
      <c r="U58" s="14">
        <f>T58/K58</f>
        <v>0.874780607767506</v>
      </c>
      <c r="V58" s="14">
        <v>3</v>
      </c>
      <c r="W58" s="14">
        <v>0.147255</v>
      </c>
      <c r="X58" s="14">
        <f>W58/K58</f>
        <v>0.125219392232495</v>
      </c>
      <c r="Y58" s="14"/>
      <c r="Z58" s="14"/>
    </row>
    <row r="59" ht="15.6" spans="1:26">
      <c r="A59" s="12"/>
      <c r="B59" s="14"/>
      <c r="C59" s="14"/>
      <c r="D59" s="11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15.6" spans="1:26">
      <c r="A60" s="12"/>
      <c r="B60" s="10">
        <v>167.45</v>
      </c>
      <c r="C60" s="10"/>
      <c r="D60" s="13" t="s">
        <v>54</v>
      </c>
      <c r="E60" s="10"/>
      <c r="F60" s="10"/>
      <c r="G60" s="10"/>
      <c r="H60" s="10"/>
      <c r="I60" s="10"/>
      <c r="J60" s="14">
        <v>120</v>
      </c>
      <c r="K60" s="14">
        <f>SUM(T60,W60)</f>
        <v>4.766613</v>
      </c>
      <c r="L60" s="14"/>
      <c r="M60" s="14">
        <v>0</v>
      </c>
      <c r="N60" s="14">
        <v>0</v>
      </c>
      <c r="O60" s="14">
        <f>N60/K60</f>
        <v>0</v>
      </c>
      <c r="P60" s="14">
        <v>0</v>
      </c>
      <c r="Q60" s="14">
        <v>0</v>
      </c>
      <c r="R60" s="14">
        <f>Q60/K60</f>
        <v>0</v>
      </c>
      <c r="S60" s="14">
        <v>113</v>
      </c>
      <c r="T60" s="14">
        <v>4.603254</v>
      </c>
      <c r="U60" s="14">
        <f>T60/K60</f>
        <v>0.965728495264877</v>
      </c>
      <c r="V60" s="14">
        <v>7</v>
      </c>
      <c r="W60" s="14">
        <v>0.163359</v>
      </c>
      <c r="X60" s="14">
        <f>W60/K60</f>
        <v>0.0342715047351232</v>
      </c>
      <c r="Y60" s="14"/>
      <c r="Z60" s="14"/>
    </row>
    <row r="61" ht="15.6" spans="1:26">
      <c r="A61" s="12"/>
      <c r="B61" s="14"/>
      <c r="C61" s="14"/>
      <c r="D61" s="11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15.6" spans="1:26">
      <c r="A62" s="9">
        <v>15</v>
      </c>
      <c r="B62" s="10"/>
      <c r="C62" s="10"/>
      <c r="D62" s="11"/>
      <c r="E62" s="10"/>
      <c r="F62" s="10"/>
      <c r="G62" s="10"/>
      <c r="H62" s="10"/>
      <c r="I62" s="10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15.6" spans="1:26">
      <c r="A63" s="12"/>
      <c r="B63" s="10">
        <v>173.38</v>
      </c>
      <c r="C63" s="10"/>
      <c r="D63" s="13" t="s">
        <v>54</v>
      </c>
      <c r="E63" s="10"/>
      <c r="F63" s="10"/>
      <c r="G63" s="10"/>
      <c r="H63" s="10"/>
      <c r="I63" s="10"/>
      <c r="J63" s="14">
        <v>36</v>
      </c>
      <c r="K63" s="14">
        <v>1.176915</v>
      </c>
      <c r="L63" s="14"/>
      <c r="M63" s="14">
        <v>0</v>
      </c>
      <c r="N63" s="14">
        <v>0</v>
      </c>
      <c r="O63" s="14">
        <f>N63/K63</f>
        <v>0</v>
      </c>
      <c r="P63" s="14">
        <v>0</v>
      </c>
      <c r="Q63" s="14">
        <v>0</v>
      </c>
      <c r="R63" s="14">
        <f>Q63/K63</f>
        <v>0</v>
      </c>
      <c r="S63" s="14">
        <v>33</v>
      </c>
      <c r="T63" s="14">
        <v>1.106531</v>
      </c>
      <c r="U63" s="14">
        <f>T63/K63</f>
        <v>0.940196190888892</v>
      </c>
      <c r="V63" s="14">
        <v>3</v>
      </c>
      <c r="W63" s="14">
        <v>0.070384</v>
      </c>
      <c r="X63" s="14">
        <f>W63/K63</f>
        <v>0.0598038091111083</v>
      </c>
      <c r="Y63" s="14"/>
      <c r="Z63" s="14"/>
    </row>
    <row r="64" ht="15.6" spans="1:26">
      <c r="A64" s="12"/>
      <c r="B64" s="14"/>
      <c r="C64" s="14"/>
      <c r="D64" s="11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31.2" spans="1:26">
      <c r="A65" s="12"/>
      <c r="B65" s="10">
        <v>306.6</v>
      </c>
      <c r="C65" s="10"/>
      <c r="D65" s="13" t="s">
        <v>53</v>
      </c>
      <c r="E65" s="10"/>
      <c r="F65" s="10"/>
      <c r="G65" s="10"/>
      <c r="H65" s="10"/>
      <c r="I65" s="10"/>
      <c r="J65" s="14">
        <v>3</v>
      </c>
      <c r="K65" s="14">
        <v>0.498478</v>
      </c>
      <c r="L65" s="14"/>
      <c r="M65" s="14">
        <v>0</v>
      </c>
      <c r="N65" s="14">
        <v>0</v>
      </c>
      <c r="O65" s="14">
        <f t="shared" ref="O65:O70" si="0">N65/K65</f>
        <v>0</v>
      </c>
      <c r="P65" s="14">
        <v>0</v>
      </c>
      <c r="Q65" s="14">
        <v>0</v>
      </c>
      <c r="R65" s="14">
        <f>Q65/K65</f>
        <v>0</v>
      </c>
      <c r="S65" s="14">
        <v>3</v>
      </c>
      <c r="T65" s="14">
        <v>0.498478</v>
      </c>
      <c r="U65" s="14">
        <f>T65/K65</f>
        <v>1</v>
      </c>
      <c r="V65" s="14">
        <v>0</v>
      </c>
      <c r="W65" s="14">
        <v>0</v>
      </c>
      <c r="X65" s="14">
        <f>W65/K65</f>
        <v>0</v>
      </c>
      <c r="Y65" s="14"/>
      <c r="Z65" s="14"/>
    </row>
    <row r="66" ht="15.6" spans="1:26">
      <c r="A66" s="12"/>
      <c r="B66" s="14"/>
      <c r="C66" s="14"/>
      <c r="D66" s="11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15.6" spans="1:26">
      <c r="A67" s="9">
        <v>16</v>
      </c>
      <c r="B67" s="10"/>
      <c r="C67" s="10"/>
      <c r="D67" s="11"/>
      <c r="E67" s="10"/>
      <c r="F67" s="10"/>
      <c r="G67" s="10"/>
      <c r="H67" s="10"/>
      <c r="I67" s="10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31.2" spans="1:26">
      <c r="A68" s="12"/>
      <c r="B68" s="10">
        <v>18.88</v>
      </c>
      <c r="C68" s="10"/>
      <c r="D68" s="13" t="s">
        <v>53</v>
      </c>
      <c r="E68" s="10"/>
      <c r="F68" s="10"/>
      <c r="G68" s="10"/>
      <c r="H68" s="10"/>
      <c r="I68" s="10"/>
      <c r="J68" s="14">
        <v>3</v>
      </c>
      <c r="K68" s="14">
        <v>0.937514</v>
      </c>
      <c r="L68" s="14"/>
      <c r="M68" s="14">
        <v>0</v>
      </c>
      <c r="N68" s="14">
        <v>0</v>
      </c>
      <c r="O68" s="14">
        <f t="shared" si="0"/>
        <v>0</v>
      </c>
      <c r="P68" s="14">
        <v>0</v>
      </c>
      <c r="Q68" s="14">
        <v>0</v>
      </c>
      <c r="R68" s="14">
        <f>Q68/K68</f>
        <v>0</v>
      </c>
      <c r="S68" s="14">
        <v>3</v>
      </c>
      <c r="T68" s="14">
        <v>0.937514</v>
      </c>
      <c r="U68" s="14">
        <f>T68/K68</f>
        <v>1</v>
      </c>
      <c r="V68" s="14">
        <v>0</v>
      </c>
      <c r="W68" s="14">
        <v>0</v>
      </c>
      <c r="X68" s="14">
        <f>W68/K68</f>
        <v>0</v>
      </c>
      <c r="Y68" s="14"/>
      <c r="Z68" s="14"/>
    </row>
    <row r="69" ht="15.6" spans="1:26">
      <c r="A69" s="12"/>
      <c r="B69" s="14"/>
      <c r="C69" s="14"/>
      <c r="D69" s="11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15.6" spans="1:26">
      <c r="A70" s="12"/>
      <c r="B70" s="10">
        <v>168.44</v>
      </c>
      <c r="C70" s="10"/>
      <c r="D70" s="13" t="s">
        <v>54</v>
      </c>
      <c r="E70" s="10"/>
      <c r="F70" s="10"/>
      <c r="G70" s="10"/>
      <c r="H70" s="10"/>
      <c r="I70" s="10"/>
      <c r="J70" s="14">
        <v>234</v>
      </c>
      <c r="K70" s="14">
        <v>7.184151</v>
      </c>
      <c r="L70" s="14"/>
      <c r="M70" s="14">
        <v>0</v>
      </c>
      <c r="N70" s="14">
        <v>0</v>
      </c>
      <c r="O70" s="14">
        <f t="shared" si="0"/>
        <v>0</v>
      </c>
      <c r="P70" s="14">
        <v>0</v>
      </c>
      <c r="Q70" s="14">
        <v>0</v>
      </c>
      <c r="R70" s="14">
        <f>Q70/K70</f>
        <v>0</v>
      </c>
      <c r="S70" s="14">
        <v>219</v>
      </c>
      <c r="T70" s="14">
        <v>6.702381</v>
      </c>
      <c r="U70" s="14">
        <f>T70/K70</f>
        <v>0.932939883919478</v>
      </c>
      <c r="V70" s="14">
        <v>15</v>
      </c>
      <c r="W70" s="14">
        <v>0.48177</v>
      </c>
      <c r="X70" s="14">
        <f>W70/K70</f>
        <v>0.0670601160805222</v>
      </c>
      <c r="Y70" s="14"/>
      <c r="Z70" s="14"/>
    </row>
    <row r="71" ht="15.6" spans="1:26">
      <c r="A71" s="12"/>
      <c r="B71" s="14"/>
      <c r="C71" s="14"/>
      <c r="D71" s="11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15.6" spans="1:26">
      <c r="A72" s="9">
        <v>17</v>
      </c>
      <c r="B72" s="10"/>
      <c r="C72" s="10"/>
      <c r="D72" s="11"/>
      <c r="E72" s="10"/>
      <c r="F72" s="10"/>
      <c r="G72" s="10"/>
      <c r="H72" s="10"/>
      <c r="I72" s="10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31.2" spans="1:26">
      <c r="A73" s="12"/>
      <c r="B73" s="10">
        <v>24.89</v>
      </c>
      <c r="C73" s="10"/>
      <c r="D73" s="13" t="s">
        <v>53</v>
      </c>
      <c r="E73" s="10"/>
      <c r="F73" s="10"/>
      <c r="G73" s="10"/>
      <c r="H73" s="10"/>
      <c r="I73" s="10"/>
      <c r="J73" s="14">
        <v>4</v>
      </c>
      <c r="K73" s="14">
        <v>1.716709</v>
      </c>
      <c r="L73" s="14"/>
      <c r="M73" s="14">
        <v>0</v>
      </c>
      <c r="N73" s="14">
        <v>0</v>
      </c>
      <c r="O73" s="14">
        <f t="shared" ref="O73:O78" si="1">N73/K73</f>
        <v>0</v>
      </c>
      <c r="P73" s="14">
        <v>0</v>
      </c>
      <c r="Q73" s="14">
        <v>0</v>
      </c>
      <c r="R73" s="14">
        <f>Q73/K73</f>
        <v>0</v>
      </c>
      <c r="S73" s="14">
        <v>4</v>
      </c>
      <c r="T73" s="14">
        <v>1.716709</v>
      </c>
      <c r="U73" s="14">
        <f>T73/K73</f>
        <v>1</v>
      </c>
      <c r="V73" s="14">
        <v>0</v>
      </c>
      <c r="W73" s="14">
        <v>0</v>
      </c>
      <c r="X73" s="14">
        <f>W73/K73</f>
        <v>0</v>
      </c>
      <c r="Y73" s="14"/>
      <c r="Z73" s="14"/>
    </row>
    <row r="74" ht="15.6" spans="1:26">
      <c r="A74" s="12"/>
      <c r="B74" s="14"/>
      <c r="C74" s="14"/>
      <c r="D74" s="11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15.6" spans="1:26">
      <c r="A75" s="12"/>
      <c r="B75" s="10">
        <v>141.8</v>
      </c>
      <c r="C75" s="10"/>
      <c r="D75" s="13" t="s">
        <v>54</v>
      </c>
      <c r="E75" s="10"/>
      <c r="F75" s="10"/>
      <c r="G75" s="10"/>
      <c r="H75" s="10"/>
      <c r="I75" s="10"/>
      <c r="J75" s="14">
        <v>221</v>
      </c>
      <c r="K75" s="14">
        <v>5.487023</v>
      </c>
      <c r="L75" s="14"/>
      <c r="M75" s="14">
        <v>0</v>
      </c>
      <c r="N75" s="14">
        <v>0</v>
      </c>
      <c r="O75" s="14">
        <f t="shared" si="1"/>
        <v>0</v>
      </c>
      <c r="P75" s="14">
        <v>0</v>
      </c>
      <c r="Q75" s="14">
        <v>0</v>
      </c>
      <c r="R75" s="14">
        <f>Q75/K75</f>
        <v>0</v>
      </c>
      <c r="S75" s="14">
        <v>215</v>
      </c>
      <c r="T75" s="14">
        <v>5.395107</v>
      </c>
      <c r="U75" s="14">
        <f>T75/K75</f>
        <v>0.983248475539468</v>
      </c>
      <c r="V75" s="14">
        <v>6</v>
      </c>
      <c r="W75" s="14">
        <v>0.091916</v>
      </c>
      <c r="X75" s="14">
        <f>W75/K75</f>
        <v>0.0167515244605317</v>
      </c>
      <c r="Y75" s="14"/>
      <c r="Z75" s="14"/>
    </row>
    <row r="76" ht="15.6" spans="1:26">
      <c r="A76" s="12"/>
      <c r="B76" s="14"/>
      <c r="C76" s="14"/>
      <c r="D76" s="11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15.6" spans="1:26">
      <c r="A77" s="9">
        <v>18</v>
      </c>
      <c r="B77" s="10"/>
      <c r="C77" s="10"/>
      <c r="D77" s="11"/>
      <c r="E77" s="10"/>
      <c r="F77" s="10"/>
      <c r="G77" s="10"/>
      <c r="H77" s="10"/>
      <c r="I77" s="10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15.6" spans="1:26">
      <c r="A78" s="12"/>
      <c r="B78" s="10">
        <v>28.91</v>
      </c>
      <c r="C78" s="10"/>
      <c r="D78" s="13" t="s">
        <v>49</v>
      </c>
      <c r="E78" s="10"/>
      <c r="F78" s="10"/>
      <c r="G78" s="10"/>
      <c r="H78" s="10"/>
      <c r="I78" s="10"/>
      <c r="J78" s="14">
        <v>59</v>
      </c>
      <c r="K78" s="14">
        <v>2.494725</v>
      </c>
      <c r="L78" s="14"/>
      <c r="M78" s="14">
        <v>0</v>
      </c>
      <c r="N78" s="14">
        <v>0</v>
      </c>
      <c r="O78" s="14">
        <f t="shared" si="1"/>
        <v>0</v>
      </c>
      <c r="P78" s="14">
        <v>0</v>
      </c>
      <c r="Q78" s="14">
        <v>0</v>
      </c>
      <c r="R78" s="14">
        <f>Q78/K78</f>
        <v>0</v>
      </c>
      <c r="S78" s="14">
        <v>49</v>
      </c>
      <c r="T78" s="14">
        <v>1.574552</v>
      </c>
      <c r="U78" s="14">
        <f>T78/K78</f>
        <v>0.631152531842187</v>
      </c>
      <c r="V78" s="14">
        <v>10</v>
      </c>
      <c r="W78" s="14">
        <v>0.920173</v>
      </c>
      <c r="X78" s="14">
        <f>W78/K78</f>
        <v>0.368847468157813</v>
      </c>
      <c r="Y78" s="14"/>
      <c r="Z78" s="14"/>
    </row>
    <row r="79" ht="15.6" spans="1:26">
      <c r="A79" s="12"/>
      <c r="B79" s="14"/>
      <c r="C79" s="14"/>
      <c r="D79" s="11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31.2" spans="1:26">
      <c r="A80" s="12"/>
      <c r="B80" s="10">
        <v>30.07</v>
      </c>
      <c r="C80" s="10"/>
      <c r="D80" s="13" t="s">
        <v>50</v>
      </c>
      <c r="E80" s="10"/>
      <c r="F80" s="10"/>
      <c r="G80" s="10"/>
      <c r="H80" s="10"/>
      <c r="I80" s="10"/>
      <c r="J80" s="14">
        <v>4</v>
      </c>
      <c r="K80" s="14">
        <v>0.07613</v>
      </c>
      <c r="L80" s="14"/>
      <c r="M80" s="14">
        <v>0</v>
      </c>
      <c r="N80" s="14">
        <v>0</v>
      </c>
      <c r="O80" s="14">
        <f>N80/K80</f>
        <v>0</v>
      </c>
      <c r="P80" s="14">
        <v>0</v>
      </c>
      <c r="Q80" s="14">
        <v>0</v>
      </c>
      <c r="R80" s="14">
        <f>Q80/K80</f>
        <v>0</v>
      </c>
      <c r="S80" s="14">
        <v>4</v>
      </c>
      <c r="T80" s="14">
        <v>0.07613</v>
      </c>
      <c r="U80" s="14">
        <f>T80/K80</f>
        <v>1</v>
      </c>
      <c r="V80" s="14">
        <v>0</v>
      </c>
      <c r="W80" s="14">
        <v>0</v>
      </c>
      <c r="X80" s="14">
        <f>W80/K80</f>
        <v>0</v>
      </c>
      <c r="Y80" s="14"/>
      <c r="Z80" s="14"/>
    </row>
    <row r="81" ht="15.6" spans="1:26">
      <c r="A81" s="12"/>
      <c r="B81" s="14"/>
      <c r="C81" s="14"/>
      <c r="D81" s="11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15.6" spans="1:26">
      <c r="A82" s="9">
        <v>19</v>
      </c>
      <c r="B82" s="10"/>
      <c r="C82" s="10"/>
      <c r="D82" s="11"/>
      <c r="E82" s="10"/>
      <c r="F82" s="10"/>
      <c r="G82" s="10"/>
      <c r="H82" s="10"/>
      <c r="I82" s="10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15.6" spans="1:26">
      <c r="A83" s="12"/>
      <c r="B83" s="10">
        <v>39.41</v>
      </c>
      <c r="C83" s="10"/>
      <c r="D83" s="13" t="s">
        <v>49</v>
      </c>
      <c r="E83" s="10"/>
      <c r="F83" s="10"/>
      <c r="G83" s="10"/>
      <c r="H83" s="10"/>
      <c r="I83" s="10"/>
      <c r="J83" s="14">
        <v>260</v>
      </c>
      <c r="K83" s="14">
        <v>7.440358</v>
      </c>
      <c r="L83" s="14"/>
      <c r="M83" s="14">
        <v>0</v>
      </c>
      <c r="N83" s="14">
        <v>0</v>
      </c>
      <c r="O83" s="14">
        <f t="shared" ref="O83:O88" si="2">N83/K83</f>
        <v>0</v>
      </c>
      <c r="P83" s="14">
        <v>0</v>
      </c>
      <c r="Q83" s="14">
        <v>0</v>
      </c>
      <c r="R83" s="14">
        <f>Q83/K83</f>
        <v>0</v>
      </c>
      <c r="S83" s="14">
        <v>230</v>
      </c>
      <c r="T83" s="14">
        <v>6.478138</v>
      </c>
      <c r="U83" s="14">
        <f>T83/K83</f>
        <v>0.870675577707417</v>
      </c>
      <c r="V83" s="14">
        <v>30</v>
      </c>
      <c r="W83" s="14">
        <v>0.96222</v>
      </c>
      <c r="X83" s="14">
        <f>W83/K83</f>
        <v>0.129324422292583</v>
      </c>
      <c r="Y83" s="14"/>
      <c r="Z83" s="14"/>
    </row>
    <row r="84" ht="15.6" spans="1:26">
      <c r="A84" s="12"/>
      <c r="B84" s="14"/>
      <c r="C84" s="14"/>
      <c r="D84" s="11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15.6" spans="1:26">
      <c r="A85" s="9">
        <v>20</v>
      </c>
      <c r="B85" s="10"/>
      <c r="C85" s="10"/>
      <c r="D85" s="11"/>
      <c r="E85" s="10"/>
      <c r="F85" s="10"/>
      <c r="G85" s="10"/>
      <c r="H85" s="10"/>
      <c r="I85" s="10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15.6" spans="1:26">
      <c r="A86" s="12"/>
      <c r="B86" s="10">
        <v>6.92</v>
      </c>
      <c r="C86" s="10"/>
      <c r="D86" s="13" t="s">
        <v>49</v>
      </c>
      <c r="E86" s="10"/>
      <c r="F86" s="10"/>
      <c r="G86" s="10"/>
      <c r="H86" s="10"/>
      <c r="I86" s="10"/>
      <c r="J86" s="14">
        <v>24</v>
      </c>
      <c r="K86" s="14">
        <v>0.48917</v>
      </c>
      <c r="L86" s="14"/>
      <c r="M86" s="14">
        <v>0</v>
      </c>
      <c r="N86" s="14">
        <v>0</v>
      </c>
      <c r="O86" s="14">
        <f t="shared" si="2"/>
        <v>0</v>
      </c>
      <c r="P86" s="14">
        <v>0</v>
      </c>
      <c r="Q86" s="14">
        <v>0</v>
      </c>
      <c r="R86" s="14">
        <f>Q86/K86</f>
        <v>0</v>
      </c>
      <c r="S86" s="14">
        <v>24</v>
      </c>
      <c r="T86" s="14">
        <v>0.48917</v>
      </c>
      <c r="U86" s="14">
        <f>T86/K86</f>
        <v>1</v>
      </c>
      <c r="V86" s="14">
        <v>0</v>
      </c>
      <c r="W86" s="14">
        <v>0</v>
      </c>
      <c r="X86" s="14">
        <f>W86/K86</f>
        <v>0</v>
      </c>
      <c r="Y86" s="14"/>
      <c r="Z86" s="14"/>
    </row>
    <row r="87" ht="15.6" spans="1:26">
      <c r="A87" s="12"/>
      <c r="B87" s="14"/>
      <c r="C87" s="14"/>
      <c r="D87" s="11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15.6" spans="1:26">
      <c r="A88" s="12"/>
      <c r="B88" s="10">
        <v>17.81</v>
      </c>
      <c r="C88" s="10"/>
      <c r="D88" s="13" t="s">
        <v>52</v>
      </c>
      <c r="E88" s="10"/>
      <c r="F88" s="10"/>
      <c r="G88" s="10"/>
      <c r="H88" s="10"/>
      <c r="I88" s="10"/>
      <c r="J88" s="14">
        <v>97</v>
      </c>
      <c r="K88" s="14">
        <v>6.092572</v>
      </c>
      <c r="L88" s="14"/>
      <c r="M88" s="14">
        <v>0</v>
      </c>
      <c r="N88" s="14">
        <v>0</v>
      </c>
      <c r="O88" s="14">
        <f t="shared" si="2"/>
        <v>0</v>
      </c>
      <c r="P88" s="14">
        <v>0</v>
      </c>
      <c r="Q88" s="14">
        <v>0</v>
      </c>
      <c r="R88" s="14">
        <f>Q88/K88</f>
        <v>0</v>
      </c>
      <c r="S88" s="14">
        <v>92</v>
      </c>
      <c r="T88" s="14">
        <v>5.69699</v>
      </c>
      <c r="U88" s="14">
        <f>T88/K88</f>
        <v>0.935071427961787</v>
      </c>
      <c r="V88" s="14">
        <v>2</v>
      </c>
      <c r="W88" s="14">
        <v>0.106582</v>
      </c>
      <c r="X88" s="14">
        <f>W88/K88</f>
        <v>0.0174937612555092</v>
      </c>
      <c r="Y88" s="14"/>
      <c r="Z88" s="14"/>
    </row>
    <row r="89" ht="15.6" spans="1:26">
      <c r="A89" s="12"/>
      <c r="B89" s="14"/>
      <c r="C89" s="14"/>
      <c r="D89" s="11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15.6" spans="1:26">
      <c r="A90" s="12"/>
      <c r="B90" s="10">
        <v>41.68</v>
      </c>
      <c r="C90" s="10"/>
      <c r="D90" s="13" t="s">
        <v>51</v>
      </c>
      <c r="E90" s="10"/>
      <c r="F90" s="10"/>
      <c r="G90" s="10"/>
      <c r="H90" s="10"/>
      <c r="I90" s="10"/>
      <c r="J90" s="14">
        <v>15</v>
      </c>
      <c r="K90" s="14">
        <v>0.63052</v>
      </c>
      <c r="L90" s="14"/>
      <c r="M90" s="14">
        <v>0</v>
      </c>
      <c r="N90" s="14">
        <v>0</v>
      </c>
      <c r="O90" s="14">
        <f>N90/K90</f>
        <v>0</v>
      </c>
      <c r="P90" s="14">
        <v>0</v>
      </c>
      <c r="Q90" s="14">
        <v>0</v>
      </c>
      <c r="R90" s="14">
        <f>Q90/K90</f>
        <v>0</v>
      </c>
      <c r="S90" s="14">
        <v>13</v>
      </c>
      <c r="T90" s="14">
        <v>0.529549</v>
      </c>
      <c r="U90" s="14">
        <f>T90/K90</f>
        <v>0.839860749857261</v>
      </c>
      <c r="V90" s="14">
        <v>2</v>
      </c>
      <c r="W90" s="14">
        <v>0.100971</v>
      </c>
      <c r="X90" s="14">
        <f>W90/K90</f>
        <v>0.160139250142739</v>
      </c>
      <c r="Y90" s="14"/>
      <c r="Z90" s="14"/>
    </row>
    <row r="91" ht="15.6" spans="1:26">
      <c r="A91" s="12"/>
      <c r="B91" s="14"/>
      <c r="C91" s="14"/>
      <c r="D91" s="11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15.6" spans="1:26">
      <c r="A92" s="9">
        <v>21</v>
      </c>
      <c r="B92" s="10"/>
      <c r="C92" s="10"/>
      <c r="D92" s="11"/>
      <c r="E92" s="10"/>
      <c r="F92" s="10"/>
      <c r="G92" s="10"/>
      <c r="H92" s="10"/>
      <c r="I92" s="10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15.6" spans="1:26">
      <c r="A93" s="12"/>
      <c r="B93" s="10">
        <v>103.08</v>
      </c>
      <c r="C93" s="10"/>
      <c r="D93" s="13" t="s">
        <v>55</v>
      </c>
      <c r="E93" s="10"/>
      <c r="F93" s="10"/>
      <c r="G93" s="10"/>
      <c r="H93" s="10"/>
      <c r="I93" s="10"/>
      <c r="J93" s="14">
        <v>8</v>
      </c>
      <c r="K93" s="14">
        <v>0.466751</v>
      </c>
      <c r="L93" s="14"/>
      <c r="M93" s="14">
        <v>0</v>
      </c>
      <c r="N93" s="14">
        <v>0</v>
      </c>
      <c r="O93" s="14">
        <f>N93/K93</f>
        <v>0</v>
      </c>
      <c r="P93" s="14">
        <v>0</v>
      </c>
      <c r="Q93" s="14">
        <v>0</v>
      </c>
      <c r="R93" s="14">
        <f>Q93/K93</f>
        <v>0</v>
      </c>
      <c r="S93" s="14">
        <v>7</v>
      </c>
      <c r="T93" s="14">
        <v>0.440002</v>
      </c>
      <c r="U93" s="14">
        <f>T93/K93</f>
        <v>0.942691070827915</v>
      </c>
      <c r="V93" s="14">
        <v>1</v>
      </c>
      <c r="W93" s="14">
        <v>0.026749</v>
      </c>
      <c r="X93" s="14">
        <f>W93/K93</f>
        <v>0.0573089291720853</v>
      </c>
      <c r="Y93" s="14"/>
      <c r="Z93" s="14"/>
    </row>
    <row r="94" ht="15.6" spans="1:26">
      <c r="A94" s="12"/>
      <c r="B94" s="14"/>
      <c r="C94" s="14"/>
      <c r="D94" s="11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15.6" spans="1:26">
      <c r="A95" s="9">
        <v>22</v>
      </c>
      <c r="B95" s="10"/>
      <c r="C95" s="10"/>
      <c r="D95" s="11"/>
      <c r="E95" s="10"/>
      <c r="F95" s="10"/>
      <c r="G95" s="10"/>
      <c r="H95" s="10"/>
      <c r="I95" s="10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15.6" spans="1:26">
      <c r="A96" s="12"/>
      <c r="B96" s="10">
        <v>182.13</v>
      </c>
      <c r="C96" s="10"/>
      <c r="D96" s="13" t="s">
        <v>49</v>
      </c>
      <c r="E96" s="10"/>
      <c r="F96" s="10"/>
      <c r="G96" s="10"/>
      <c r="H96" s="10"/>
      <c r="I96" s="10"/>
      <c r="J96" s="14">
        <v>33</v>
      </c>
      <c r="K96" s="14">
        <v>0.700563</v>
      </c>
      <c r="L96" s="14"/>
      <c r="M96" s="14">
        <v>0</v>
      </c>
      <c r="N96" s="14">
        <v>0</v>
      </c>
      <c r="O96" s="14">
        <f t="shared" ref="O96:O101" si="3">N96/K96</f>
        <v>0</v>
      </c>
      <c r="P96" s="14">
        <v>0</v>
      </c>
      <c r="Q96" s="14">
        <v>0</v>
      </c>
      <c r="R96" s="14">
        <f>Q96/K96</f>
        <v>0</v>
      </c>
      <c r="S96" s="14">
        <v>29</v>
      </c>
      <c r="T96" s="14">
        <v>0.636525</v>
      </c>
      <c r="U96" s="14">
        <f>T96/K96</f>
        <v>0.908590662081783</v>
      </c>
      <c r="V96" s="14">
        <v>4</v>
      </c>
      <c r="W96" s="14">
        <v>0.064038</v>
      </c>
      <c r="X96" s="14">
        <f>W96/K96</f>
        <v>0.0914093379182172</v>
      </c>
      <c r="Y96" s="14"/>
      <c r="Z96" s="14"/>
    </row>
    <row r="97" ht="15.6" spans="1:26">
      <c r="A97" s="12"/>
      <c r="B97" s="14"/>
      <c r="C97" s="14"/>
      <c r="D97" s="11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15.6" spans="1:26">
      <c r="A98" s="9">
        <v>23</v>
      </c>
      <c r="B98" s="10"/>
      <c r="C98" s="10"/>
      <c r="D98" s="11"/>
      <c r="E98" s="10"/>
      <c r="F98" s="10"/>
      <c r="G98" s="10"/>
      <c r="H98" s="10"/>
      <c r="I98" s="10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15.6" spans="1:26">
      <c r="A99" s="12"/>
      <c r="B99" s="10">
        <v>23.38</v>
      </c>
      <c r="C99" s="10"/>
      <c r="D99" s="13" t="s">
        <v>52</v>
      </c>
      <c r="E99" s="10"/>
      <c r="F99" s="10"/>
      <c r="G99" s="10"/>
      <c r="H99" s="10"/>
      <c r="I99" s="10"/>
      <c r="J99" s="14">
        <v>2</v>
      </c>
      <c r="K99" s="14">
        <v>0.07285</v>
      </c>
      <c r="L99" s="14"/>
      <c r="M99" s="14">
        <v>0</v>
      </c>
      <c r="N99" s="14">
        <v>0</v>
      </c>
      <c r="O99" s="14">
        <f t="shared" si="3"/>
        <v>0</v>
      </c>
      <c r="P99" s="14">
        <v>0</v>
      </c>
      <c r="Q99" s="14">
        <v>0</v>
      </c>
      <c r="R99" s="14">
        <f>Q99/K99</f>
        <v>0</v>
      </c>
      <c r="S99" s="14">
        <v>1</v>
      </c>
      <c r="T99" s="14">
        <v>0.028057</v>
      </c>
      <c r="U99" s="14">
        <f>T99/K99</f>
        <v>0.385133836650652</v>
      </c>
      <c r="V99" s="14">
        <v>1</v>
      </c>
      <c r="W99" s="14">
        <v>0.044793</v>
      </c>
      <c r="X99" s="14">
        <f>W99/K99</f>
        <v>0.614866163349348</v>
      </c>
      <c r="Y99" s="14"/>
      <c r="Z99" s="14"/>
    </row>
    <row r="100" ht="15.6" spans="1:26">
      <c r="A100" s="12"/>
      <c r="B100" s="14"/>
      <c r="C100" s="14"/>
      <c r="D100" s="11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15.6" spans="1:26">
      <c r="A101" s="12"/>
      <c r="B101" s="10">
        <v>138.53</v>
      </c>
      <c r="C101" s="10"/>
      <c r="D101" s="13" t="s">
        <v>49</v>
      </c>
      <c r="E101" s="10"/>
      <c r="F101" s="10"/>
      <c r="G101" s="10"/>
      <c r="H101" s="10"/>
      <c r="I101" s="10"/>
      <c r="J101" s="14">
        <v>16</v>
      </c>
      <c r="K101" s="14">
        <v>0.370764</v>
      </c>
      <c r="L101" s="14"/>
      <c r="M101" s="14">
        <v>0</v>
      </c>
      <c r="N101" s="14">
        <v>0</v>
      </c>
      <c r="O101" s="14">
        <f t="shared" si="3"/>
        <v>0</v>
      </c>
      <c r="P101" s="14">
        <v>0</v>
      </c>
      <c r="Q101" s="14">
        <v>0</v>
      </c>
      <c r="R101" s="14">
        <f>Q101/K101</f>
        <v>0</v>
      </c>
      <c r="S101" s="14">
        <v>16</v>
      </c>
      <c r="T101" s="14">
        <v>0.370764</v>
      </c>
      <c r="U101" s="14">
        <f>T101/K101</f>
        <v>1</v>
      </c>
      <c r="V101" s="14">
        <v>0</v>
      </c>
      <c r="W101" s="14">
        <v>0</v>
      </c>
      <c r="X101" s="14">
        <f>W101/K101</f>
        <v>0</v>
      </c>
      <c r="Y101" s="14"/>
      <c r="Z101" s="14"/>
    </row>
    <row r="102" ht="15.6" spans="1:26">
      <c r="A102" s="12"/>
      <c r="B102" s="14"/>
      <c r="C102" s="14"/>
      <c r="D102" s="11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5.6" spans="1:26">
      <c r="A103" s="9">
        <v>24</v>
      </c>
      <c r="B103" s="10"/>
      <c r="C103" s="10"/>
      <c r="D103" s="11"/>
      <c r="E103" s="10"/>
      <c r="F103" s="10"/>
      <c r="G103" s="10"/>
      <c r="H103" s="10"/>
      <c r="I103" s="10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5.6" spans="1:26">
      <c r="A104" s="12"/>
      <c r="B104" s="10">
        <v>48.9</v>
      </c>
      <c r="C104" s="10"/>
      <c r="D104" s="13" t="s">
        <v>51</v>
      </c>
      <c r="E104" s="10"/>
      <c r="F104" s="10"/>
      <c r="G104" s="10"/>
      <c r="H104" s="10"/>
      <c r="I104" s="10"/>
      <c r="J104" s="14">
        <v>1</v>
      </c>
      <c r="K104" s="14">
        <v>0.044462</v>
      </c>
      <c r="L104" s="14"/>
      <c r="M104" s="14">
        <v>0</v>
      </c>
      <c r="N104" s="14">
        <v>0</v>
      </c>
      <c r="O104" s="14">
        <f t="shared" ref="O104:O109" si="4">N104/K104</f>
        <v>0</v>
      </c>
      <c r="P104" s="14">
        <v>0</v>
      </c>
      <c r="Q104" s="14">
        <v>0</v>
      </c>
      <c r="R104" s="14">
        <f>Q104/K104</f>
        <v>0</v>
      </c>
      <c r="S104" s="14">
        <v>0</v>
      </c>
      <c r="T104" s="14">
        <v>0</v>
      </c>
      <c r="U104" s="14">
        <f>T104/K104</f>
        <v>0</v>
      </c>
      <c r="V104" s="14">
        <v>1</v>
      </c>
      <c r="W104" s="14">
        <v>0.044462</v>
      </c>
      <c r="X104" s="14">
        <f>W104/K104</f>
        <v>1</v>
      </c>
      <c r="Y104" s="14"/>
      <c r="Z104" s="14"/>
    </row>
    <row r="105" ht="15.6" spans="1:26">
      <c r="A105" s="12"/>
      <c r="B105" s="14"/>
      <c r="C105" s="14"/>
      <c r="D105" s="11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5.6" spans="1:26">
      <c r="A106" s="12"/>
      <c r="B106" s="10">
        <v>101.64</v>
      </c>
      <c r="C106" s="10"/>
      <c r="D106" s="13" t="s">
        <v>49</v>
      </c>
      <c r="E106" s="10"/>
      <c r="F106" s="10"/>
      <c r="G106" s="10"/>
      <c r="H106" s="10"/>
      <c r="I106" s="10"/>
      <c r="J106" s="14">
        <v>1</v>
      </c>
      <c r="K106" s="14">
        <v>0.127987</v>
      </c>
      <c r="L106" s="14"/>
      <c r="M106" s="14">
        <v>0</v>
      </c>
      <c r="N106" s="14">
        <v>0</v>
      </c>
      <c r="O106" s="14">
        <f t="shared" si="4"/>
        <v>0</v>
      </c>
      <c r="P106" s="14">
        <v>0</v>
      </c>
      <c r="Q106" s="14">
        <v>0</v>
      </c>
      <c r="R106" s="14">
        <f>Q106/K106</f>
        <v>0</v>
      </c>
      <c r="S106" s="14">
        <v>1</v>
      </c>
      <c r="T106" s="14">
        <v>0.127987</v>
      </c>
      <c r="U106" s="14">
        <f>T106/K106</f>
        <v>1</v>
      </c>
      <c r="V106" s="14">
        <v>0</v>
      </c>
      <c r="W106" s="14">
        <v>0</v>
      </c>
      <c r="X106" s="14">
        <f>W106/K106</f>
        <v>0</v>
      </c>
      <c r="Y106" s="14"/>
      <c r="Z106" s="14"/>
    </row>
    <row r="107" ht="15.6" spans="1:26">
      <c r="A107" s="12"/>
      <c r="B107" s="14"/>
      <c r="C107" s="14"/>
      <c r="D107" s="11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5.6" spans="1:26">
      <c r="A108" s="9">
        <v>27</v>
      </c>
      <c r="B108" s="10"/>
      <c r="C108" s="10"/>
      <c r="D108" s="11"/>
      <c r="E108" s="10"/>
      <c r="F108" s="10"/>
      <c r="G108" s="10"/>
      <c r="H108" s="10"/>
      <c r="I108" s="10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5.6" spans="1:26">
      <c r="A109" s="12"/>
      <c r="B109" s="10">
        <v>156.16</v>
      </c>
      <c r="C109" s="10"/>
      <c r="D109" s="13" t="s">
        <v>49</v>
      </c>
      <c r="E109" s="10"/>
      <c r="F109" s="10"/>
      <c r="G109" s="10"/>
      <c r="H109" s="10"/>
      <c r="I109" s="10"/>
      <c r="J109" s="14">
        <v>2</v>
      </c>
      <c r="K109" s="14">
        <v>0.332124</v>
      </c>
      <c r="L109" s="14"/>
      <c r="M109" s="14">
        <v>0</v>
      </c>
      <c r="N109" s="14">
        <v>0</v>
      </c>
      <c r="O109" s="14">
        <f t="shared" si="4"/>
        <v>0</v>
      </c>
      <c r="P109" s="14">
        <v>0</v>
      </c>
      <c r="Q109" s="14">
        <v>0</v>
      </c>
      <c r="R109" s="14">
        <f>Q109/K109</f>
        <v>0</v>
      </c>
      <c r="S109" s="14">
        <v>2</v>
      </c>
      <c r="T109" s="14">
        <v>0.332124</v>
      </c>
      <c r="U109" s="14">
        <f>T109/K109</f>
        <v>1</v>
      </c>
      <c r="V109" s="14">
        <v>0</v>
      </c>
      <c r="W109" s="14">
        <v>0</v>
      </c>
      <c r="X109" s="14">
        <f>W109/K109</f>
        <v>0</v>
      </c>
      <c r="Y109" s="14"/>
      <c r="Z109" s="14"/>
    </row>
    <row r="110" ht="15.6" spans="1:26">
      <c r="A110" s="12"/>
      <c r="B110" s="14"/>
      <c r="C110" s="14"/>
      <c r="D110" s="11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5.6" spans="1:26">
      <c r="A111" s="9">
        <v>28</v>
      </c>
      <c r="B111" s="10"/>
      <c r="C111" s="10"/>
      <c r="D111" s="11"/>
      <c r="E111" s="10"/>
      <c r="F111" s="10"/>
      <c r="G111" s="10"/>
      <c r="H111" s="10"/>
      <c r="I111" s="10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15.6" spans="1:26">
      <c r="A112" s="12"/>
      <c r="B112" s="10">
        <v>130.53</v>
      </c>
      <c r="C112" s="10"/>
      <c r="D112" s="13" t="s">
        <v>49</v>
      </c>
      <c r="E112" s="10"/>
      <c r="F112" s="10"/>
      <c r="G112" s="10"/>
      <c r="H112" s="10"/>
      <c r="I112" s="10"/>
      <c r="J112" s="14">
        <v>1</v>
      </c>
      <c r="K112" s="14">
        <v>0.344658</v>
      </c>
      <c r="L112" s="14"/>
      <c r="M112" s="14">
        <v>0</v>
      </c>
      <c r="N112" s="14">
        <v>0</v>
      </c>
      <c r="O112" s="14">
        <f t="shared" ref="O112:O117" si="5">N112/K112</f>
        <v>0</v>
      </c>
      <c r="P112" s="14">
        <v>0</v>
      </c>
      <c r="Q112" s="14">
        <v>0</v>
      </c>
      <c r="R112" s="14">
        <f>Q112/K112</f>
        <v>0</v>
      </c>
      <c r="S112" s="14">
        <v>1</v>
      </c>
      <c r="T112" s="14">
        <v>0.344658</v>
      </c>
      <c r="U112" s="14">
        <f>T112/K112</f>
        <v>1</v>
      </c>
      <c r="V112" s="14">
        <v>0</v>
      </c>
      <c r="W112" s="14">
        <v>0</v>
      </c>
      <c r="X112" s="14">
        <f>W112/K112</f>
        <v>0</v>
      </c>
      <c r="Y112" s="14"/>
      <c r="Z112" s="14"/>
    </row>
    <row r="113" ht="15.6" spans="1:26">
      <c r="A113" s="12"/>
      <c r="B113" s="14"/>
      <c r="C113" s="14"/>
      <c r="D113" s="11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5.6" spans="1:26">
      <c r="A114" s="9">
        <v>29</v>
      </c>
      <c r="B114" s="10"/>
      <c r="C114" s="10"/>
      <c r="D114" s="11"/>
      <c r="E114" s="10"/>
      <c r="F114" s="10"/>
      <c r="G114" s="10"/>
      <c r="H114" s="10"/>
      <c r="I114" s="10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5.6" spans="1:26">
      <c r="A115" s="12"/>
      <c r="B115" s="10">
        <v>11.54</v>
      </c>
      <c r="C115" s="10"/>
      <c r="D115" s="13" t="s">
        <v>54</v>
      </c>
      <c r="E115" s="10"/>
      <c r="F115" s="10"/>
      <c r="G115" s="10"/>
      <c r="H115" s="10"/>
      <c r="I115" s="10"/>
      <c r="J115" s="14">
        <v>2</v>
      </c>
      <c r="K115" s="14">
        <v>1.463839</v>
      </c>
      <c r="L115" s="14"/>
      <c r="M115" s="14">
        <v>0</v>
      </c>
      <c r="N115" s="14">
        <v>0</v>
      </c>
      <c r="O115" s="14">
        <f t="shared" si="5"/>
        <v>0</v>
      </c>
      <c r="P115" s="14">
        <v>0</v>
      </c>
      <c r="Q115" s="14">
        <v>0</v>
      </c>
      <c r="R115" s="14">
        <f>Q115/K115</f>
        <v>0</v>
      </c>
      <c r="S115" s="14">
        <v>2</v>
      </c>
      <c r="T115" s="14">
        <v>1.463839</v>
      </c>
      <c r="U115" s="14">
        <f>T115/K115</f>
        <v>1</v>
      </c>
      <c r="V115" s="14">
        <v>0</v>
      </c>
      <c r="W115" s="14">
        <v>0</v>
      </c>
      <c r="X115" s="14">
        <f>W115/K115</f>
        <v>0</v>
      </c>
      <c r="Y115" s="14"/>
      <c r="Z115" s="14"/>
    </row>
    <row r="116" ht="15.6" spans="1:26">
      <c r="A116" s="12"/>
      <c r="B116" s="14"/>
      <c r="C116" s="14"/>
      <c r="D116" s="11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31.2" spans="1:26">
      <c r="A117" s="12"/>
      <c r="B117" s="10">
        <v>88.8</v>
      </c>
      <c r="C117" s="10"/>
      <c r="D117" s="13" t="s">
        <v>53</v>
      </c>
      <c r="E117" s="10"/>
      <c r="F117" s="10"/>
      <c r="G117" s="10"/>
      <c r="H117" s="10"/>
      <c r="I117" s="10"/>
      <c r="J117" s="14">
        <v>2</v>
      </c>
      <c r="K117" s="14">
        <v>0.753518</v>
      </c>
      <c r="L117" s="14"/>
      <c r="M117" s="14">
        <v>0</v>
      </c>
      <c r="N117" s="14">
        <v>0</v>
      </c>
      <c r="O117" s="14">
        <f t="shared" si="5"/>
        <v>0</v>
      </c>
      <c r="P117" s="14">
        <v>0</v>
      </c>
      <c r="Q117" s="14">
        <v>0</v>
      </c>
      <c r="R117" s="14">
        <f>Q117/K117</f>
        <v>0</v>
      </c>
      <c r="S117" s="14">
        <v>2</v>
      </c>
      <c r="T117" s="14">
        <v>0.753518</v>
      </c>
      <c r="U117" s="14">
        <f>T117/K117</f>
        <v>1</v>
      </c>
      <c r="V117" s="14">
        <v>0</v>
      </c>
      <c r="W117" s="14">
        <v>0</v>
      </c>
      <c r="X117" s="14">
        <f>W117/K117</f>
        <v>0</v>
      </c>
      <c r="Y117" s="14"/>
      <c r="Z117" s="14"/>
    </row>
    <row r="118" ht="15.6" spans="1:26">
      <c r="A118" s="12"/>
      <c r="B118" s="14"/>
      <c r="C118" s="14"/>
      <c r="D118" s="11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15.6" spans="1:26">
      <c r="A119" s="9">
        <v>30</v>
      </c>
      <c r="B119" s="10"/>
      <c r="C119" s="10"/>
      <c r="D119" s="11"/>
      <c r="E119" s="10"/>
      <c r="F119" s="10"/>
      <c r="G119" s="10"/>
      <c r="H119" s="10"/>
      <c r="I119" s="10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5.6" spans="1:26">
      <c r="A120" s="12"/>
      <c r="B120" s="10">
        <v>72.69</v>
      </c>
      <c r="C120" s="10"/>
      <c r="D120" s="13" t="s">
        <v>51</v>
      </c>
      <c r="E120" s="10"/>
      <c r="F120" s="10"/>
      <c r="G120" s="10"/>
      <c r="H120" s="10"/>
      <c r="I120" s="10"/>
      <c r="J120" s="14">
        <v>1</v>
      </c>
      <c r="K120" s="14">
        <v>0.112715</v>
      </c>
      <c r="L120" s="14"/>
      <c r="M120" s="14">
        <v>0</v>
      </c>
      <c r="N120" s="14">
        <v>0</v>
      </c>
      <c r="O120" s="14">
        <f>N120/K120</f>
        <v>0</v>
      </c>
      <c r="P120" s="14">
        <v>0</v>
      </c>
      <c r="Q120" s="14">
        <v>0</v>
      </c>
      <c r="R120" s="14">
        <f>Q120/K120</f>
        <v>0</v>
      </c>
      <c r="S120" s="14">
        <v>0</v>
      </c>
      <c r="T120" s="14">
        <v>0</v>
      </c>
      <c r="U120" s="14">
        <f>T120/K120</f>
        <v>0</v>
      </c>
      <c r="V120" s="14">
        <v>0</v>
      </c>
      <c r="W120" s="14">
        <v>0</v>
      </c>
      <c r="X120" s="14">
        <f>W120/K120</f>
        <v>0</v>
      </c>
      <c r="Y120" s="14"/>
      <c r="Z120" s="14"/>
    </row>
    <row r="121" ht="15.6" spans="1:26">
      <c r="A121" s="12"/>
      <c r="B121" s="14"/>
      <c r="C121" s="14"/>
      <c r="D121" s="11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5.6" spans="1:26">
      <c r="A122" s="9">
        <v>37</v>
      </c>
      <c r="B122" s="10"/>
      <c r="C122" s="10"/>
      <c r="D122" s="11"/>
      <c r="E122" s="10"/>
      <c r="F122" s="10"/>
      <c r="G122" s="10"/>
      <c r="H122" s="10"/>
      <c r="I122" s="10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5.6" spans="1:26">
      <c r="A123" s="12"/>
      <c r="B123" s="10">
        <v>79.27</v>
      </c>
      <c r="C123" s="10"/>
      <c r="D123" s="13" t="s">
        <v>49</v>
      </c>
      <c r="E123" s="10"/>
      <c r="F123" s="10"/>
      <c r="G123" s="10"/>
      <c r="H123" s="10"/>
      <c r="I123" s="10"/>
      <c r="J123" s="14">
        <v>1</v>
      </c>
      <c r="K123" s="14">
        <v>0.735973</v>
      </c>
      <c r="L123" s="14"/>
      <c r="M123" s="14">
        <v>0</v>
      </c>
      <c r="N123" s="14">
        <v>0</v>
      </c>
      <c r="O123" s="14">
        <f t="shared" ref="O123:O128" si="6">N123/K123</f>
        <v>0</v>
      </c>
      <c r="P123" s="14">
        <v>0</v>
      </c>
      <c r="Q123" s="14">
        <v>0</v>
      </c>
      <c r="R123" s="14">
        <f>Q123/K123</f>
        <v>0</v>
      </c>
      <c r="S123" s="14">
        <v>1</v>
      </c>
      <c r="T123" s="14">
        <v>0.735973</v>
      </c>
      <c r="U123" s="14">
        <f>T123/K123</f>
        <v>1</v>
      </c>
      <c r="V123" s="14">
        <v>0</v>
      </c>
      <c r="W123" s="14">
        <v>0</v>
      </c>
      <c r="X123" s="14">
        <f>W123/K123</f>
        <v>0</v>
      </c>
      <c r="Y123" s="14"/>
      <c r="Z123" s="14"/>
    </row>
    <row r="124" ht="15.6" spans="1:26">
      <c r="A124" s="12"/>
      <c r="B124" s="14"/>
      <c r="C124" s="14"/>
      <c r="D124" s="11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5.6" spans="1:26">
      <c r="A125" s="9">
        <v>38</v>
      </c>
      <c r="B125" s="10"/>
      <c r="C125" s="10"/>
      <c r="D125" s="11"/>
      <c r="E125" s="10"/>
      <c r="F125" s="10"/>
      <c r="G125" s="10"/>
      <c r="H125" s="10"/>
      <c r="I125" s="10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5.6" spans="1:26">
      <c r="A126" s="12"/>
      <c r="B126" s="10">
        <v>24.32</v>
      </c>
      <c r="C126" s="10"/>
      <c r="D126" s="13" t="s">
        <v>49</v>
      </c>
      <c r="E126" s="10"/>
      <c r="F126" s="10"/>
      <c r="G126" s="10"/>
      <c r="H126" s="10"/>
      <c r="I126" s="10"/>
      <c r="J126" s="14">
        <v>5</v>
      </c>
      <c r="K126" s="14">
        <v>0.240099</v>
      </c>
      <c r="L126" s="14"/>
      <c r="M126" s="14">
        <v>0</v>
      </c>
      <c r="N126" s="14">
        <v>0</v>
      </c>
      <c r="O126" s="14">
        <f t="shared" si="6"/>
        <v>0</v>
      </c>
      <c r="P126" s="14">
        <v>0</v>
      </c>
      <c r="Q126" s="14">
        <v>0</v>
      </c>
      <c r="R126" s="14">
        <f>Q126/K126</f>
        <v>0</v>
      </c>
      <c r="S126" s="14">
        <v>5</v>
      </c>
      <c r="T126" s="14">
        <v>0.240099</v>
      </c>
      <c r="U126" s="14">
        <f>T126/K126</f>
        <v>1</v>
      </c>
      <c r="V126" s="14">
        <v>0</v>
      </c>
      <c r="W126" s="14">
        <v>0</v>
      </c>
      <c r="X126" s="14">
        <f>W126/K126</f>
        <v>0</v>
      </c>
      <c r="Y126" s="14"/>
      <c r="Z126" s="14"/>
    </row>
    <row r="127" ht="15.6" spans="1:26">
      <c r="A127" s="12"/>
      <c r="B127" s="14"/>
      <c r="C127" s="14"/>
      <c r="D127" s="11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5.6" spans="1:26">
      <c r="A128" s="12"/>
      <c r="B128" s="10">
        <v>123.71</v>
      </c>
      <c r="C128" s="10"/>
      <c r="D128" s="13" t="s">
        <v>51</v>
      </c>
      <c r="E128" s="10"/>
      <c r="F128" s="10"/>
      <c r="G128" s="10"/>
      <c r="H128" s="10"/>
      <c r="I128" s="10"/>
      <c r="J128" s="14">
        <v>19</v>
      </c>
      <c r="K128" s="14">
        <v>0.990786</v>
      </c>
      <c r="L128" s="14"/>
      <c r="M128" s="14">
        <v>0</v>
      </c>
      <c r="N128" s="14">
        <v>0</v>
      </c>
      <c r="O128" s="14">
        <f t="shared" si="6"/>
        <v>0</v>
      </c>
      <c r="P128" s="14">
        <v>0</v>
      </c>
      <c r="Q128" s="14">
        <v>0</v>
      </c>
      <c r="R128" s="14">
        <f>Q128/K128</f>
        <v>0</v>
      </c>
      <c r="S128" s="14">
        <v>16</v>
      </c>
      <c r="T128" s="14">
        <v>0.941405</v>
      </c>
      <c r="U128" s="14">
        <f>T128/K128</f>
        <v>0.950159772140503</v>
      </c>
      <c r="V128" s="14">
        <v>3</v>
      </c>
      <c r="W128" s="14">
        <v>0.049381</v>
      </c>
      <c r="X128" s="14">
        <f>W128/K128</f>
        <v>0.0498402278594974</v>
      </c>
      <c r="Y128" s="14"/>
      <c r="Z128" s="14"/>
    </row>
    <row r="129" ht="15.6" spans="1:26">
      <c r="A129" s="12"/>
      <c r="B129" s="14"/>
      <c r="C129" s="14"/>
      <c r="D129" s="11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5.6" spans="1:26">
      <c r="A130" s="9">
        <v>39</v>
      </c>
      <c r="B130" s="10"/>
      <c r="C130" s="10"/>
      <c r="D130" s="11"/>
      <c r="E130" s="10"/>
      <c r="F130" s="10"/>
      <c r="G130" s="10"/>
      <c r="H130" s="10"/>
      <c r="I130" s="10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31.2" spans="1:26">
      <c r="A131" s="12"/>
      <c r="B131" s="10">
        <v>38.05</v>
      </c>
      <c r="C131" s="10"/>
      <c r="D131" s="13" t="s">
        <v>53</v>
      </c>
      <c r="E131" s="10"/>
      <c r="F131" s="10"/>
      <c r="G131" s="10"/>
      <c r="H131" s="10"/>
      <c r="I131" s="10"/>
      <c r="J131" s="14">
        <v>36</v>
      </c>
      <c r="K131" s="14">
        <v>1.247759</v>
      </c>
      <c r="L131" s="14"/>
      <c r="M131" s="14">
        <v>0</v>
      </c>
      <c r="N131" s="14">
        <v>0</v>
      </c>
      <c r="O131" s="14">
        <f t="shared" ref="O131:O136" si="7">N131/K131</f>
        <v>0</v>
      </c>
      <c r="P131" s="14">
        <v>0</v>
      </c>
      <c r="Q131" s="14">
        <v>0</v>
      </c>
      <c r="R131" s="14">
        <f>Q131/K131</f>
        <v>0</v>
      </c>
      <c r="S131" s="14">
        <v>35</v>
      </c>
      <c r="T131" s="14">
        <v>1.190247</v>
      </c>
      <c r="U131" s="14">
        <f>T131/K131</f>
        <v>0.953907765842603</v>
      </c>
      <c r="V131" s="14">
        <v>1</v>
      </c>
      <c r="W131" s="14">
        <v>0.057512</v>
      </c>
      <c r="X131" s="14">
        <f>W131/K131</f>
        <v>0.0460922341573974</v>
      </c>
      <c r="Y131" s="14"/>
      <c r="Z131" s="14"/>
    </row>
    <row r="132" ht="15.6" spans="1:26">
      <c r="A132" s="12"/>
      <c r="B132" s="14"/>
      <c r="C132" s="14"/>
      <c r="D132" s="11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5.6" spans="1:26">
      <c r="A133" s="12"/>
      <c r="B133" s="10">
        <v>102.71</v>
      </c>
      <c r="C133" s="10"/>
      <c r="D133" s="13" t="s">
        <v>49</v>
      </c>
      <c r="E133" s="10"/>
      <c r="F133" s="10"/>
      <c r="G133" s="10"/>
      <c r="H133" s="10"/>
      <c r="I133" s="10"/>
      <c r="J133" s="14">
        <v>6</v>
      </c>
      <c r="K133" s="14">
        <v>0.125414</v>
      </c>
      <c r="L133" s="14"/>
      <c r="M133" s="14">
        <v>0</v>
      </c>
      <c r="N133" s="14">
        <v>0</v>
      </c>
      <c r="O133" s="14">
        <f t="shared" si="7"/>
        <v>0</v>
      </c>
      <c r="P133" s="14">
        <v>0</v>
      </c>
      <c r="Q133" s="14">
        <v>0</v>
      </c>
      <c r="R133" s="14">
        <f>Q133/K133</f>
        <v>0</v>
      </c>
      <c r="S133" s="14">
        <v>6</v>
      </c>
      <c r="T133" s="14">
        <v>0.125414</v>
      </c>
      <c r="U133" s="14">
        <f>T133/K133</f>
        <v>1</v>
      </c>
      <c r="V133" s="14">
        <v>0</v>
      </c>
      <c r="W133" s="14">
        <v>0</v>
      </c>
      <c r="X133" s="14">
        <f>W133/K133</f>
        <v>0</v>
      </c>
      <c r="Y133" s="14"/>
      <c r="Z133" s="14"/>
    </row>
    <row r="134" ht="15.6" spans="1:26">
      <c r="A134" s="12"/>
      <c r="B134" s="14"/>
      <c r="C134" s="14"/>
      <c r="D134" s="11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5.6" spans="1:26">
      <c r="A135" s="9">
        <v>40</v>
      </c>
      <c r="B135" s="10"/>
      <c r="C135" s="10"/>
      <c r="D135" s="11"/>
      <c r="E135" s="10"/>
      <c r="F135" s="10"/>
      <c r="G135" s="10"/>
      <c r="H135" s="10"/>
      <c r="I135" s="10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5.6" spans="1:26">
      <c r="A136" s="12"/>
      <c r="B136" s="10">
        <v>35.24</v>
      </c>
      <c r="C136" s="10"/>
      <c r="D136" s="13" t="s">
        <v>48</v>
      </c>
      <c r="E136" s="10"/>
      <c r="F136" s="10"/>
      <c r="G136" s="10"/>
      <c r="H136" s="10"/>
      <c r="I136" s="10"/>
      <c r="J136" s="14">
        <v>5</v>
      </c>
      <c r="K136" s="14">
        <v>0.076712</v>
      </c>
      <c r="L136" s="14"/>
      <c r="M136" s="14">
        <v>0</v>
      </c>
      <c r="N136" s="14">
        <v>0</v>
      </c>
      <c r="O136" s="14">
        <f t="shared" si="7"/>
        <v>0</v>
      </c>
      <c r="P136" s="14">
        <v>0</v>
      </c>
      <c r="Q136" s="14">
        <v>0</v>
      </c>
      <c r="R136" s="14">
        <f>Q136/K136</f>
        <v>0</v>
      </c>
      <c r="S136" s="14">
        <v>5</v>
      </c>
      <c r="T136" s="14">
        <v>0.076712</v>
      </c>
      <c r="U136" s="14">
        <f>T136/K136</f>
        <v>1</v>
      </c>
      <c r="V136" s="14">
        <v>0</v>
      </c>
      <c r="W136" s="14">
        <v>0</v>
      </c>
      <c r="X136" s="14">
        <f>W136/K136</f>
        <v>0</v>
      </c>
      <c r="Y136" s="14"/>
      <c r="Z136" s="14"/>
    </row>
    <row r="137" ht="15.6" spans="1:26">
      <c r="A137" s="12"/>
      <c r="B137" s="14"/>
      <c r="C137" s="14"/>
      <c r="D137" s="11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5.6" spans="1:26">
      <c r="A138" s="12"/>
      <c r="B138" s="10">
        <v>37.18</v>
      </c>
      <c r="C138" s="10"/>
      <c r="D138" s="13" t="s">
        <v>51</v>
      </c>
      <c r="E138" s="10"/>
      <c r="F138" s="10"/>
      <c r="G138" s="10"/>
      <c r="H138" s="10"/>
      <c r="I138" s="10"/>
      <c r="J138" s="14">
        <v>118</v>
      </c>
      <c r="K138" s="14">
        <v>6.382147</v>
      </c>
      <c r="L138" s="14"/>
      <c r="M138" s="14">
        <v>0</v>
      </c>
      <c r="N138" s="14">
        <v>0</v>
      </c>
      <c r="O138" s="14">
        <f t="shared" ref="O138:O143" si="8">N138/K138</f>
        <v>0</v>
      </c>
      <c r="P138" s="14">
        <v>0</v>
      </c>
      <c r="Q138" s="14">
        <v>0</v>
      </c>
      <c r="R138" s="14">
        <f>Q138/K138</f>
        <v>0</v>
      </c>
      <c r="S138" s="14">
        <v>112</v>
      </c>
      <c r="T138" s="14">
        <v>5.99398</v>
      </c>
      <c r="U138" s="14">
        <f>T138/K138</f>
        <v>0.939179244852868</v>
      </c>
      <c r="V138" s="14">
        <v>6</v>
      </c>
      <c r="W138" s="14">
        <v>0.388167</v>
      </c>
      <c r="X138" s="14">
        <f>W138/K138</f>
        <v>0.0608207551471315</v>
      </c>
      <c r="Y138" s="14"/>
      <c r="Z138" s="14"/>
    </row>
    <row r="139" ht="15.6" spans="1:26">
      <c r="A139" s="12"/>
      <c r="B139" s="14"/>
      <c r="C139" s="14"/>
      <c r="D139" s="11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5.6" spans="1:26">
      <c r="A140" s="12"/>
      <c r="B140" s="10">
        <v>66.58</v>
      </c>
      <c r="C140" s="10"/>
      <c r="D140" s="13" t="s">
        <v>49</v>
      </c>
      <c r="E140" s="10"/>
      <c r="F140" s="10"/>
      <c r="G140" s="10"/>
      <c r="H140" s="10"/>
      <c r="I140" s="10"/>
      <c r="J140" s="14">
        <v>104</v>
      </c>
      <c r="K140" s="28">
        <f>SUM(T140)</f>
        <v>2.306015</v>
      </c>
      <c r="L140" s="14"/>
      <c r="M140" s="14">
        <v>0</v>
      </c>
      <c r="N140" s="14">
        <v>0</v>
      </c>
      <c r="O140" s="14">
        <f t="shared" si="8"/>
        <v>0</v>
      </c>
      <c r="P140" s="14">
        <v>0</v>
      </c>
      <c r="Q140" s="14">
        <v>0</v>
      </c>
      <c r="R140" s="14">
        <f>Q140/K140</f>
        <v>0</v>
      </c>
      <c r="S140" s="14">
        <v>104</v>
      </c>
      <c r="T140" s="14">
        <v>2.306015</v>
      </c>
      <c r="U140" s="14">
        <f>T140/K140</f>
        <v>1</v>
      </c>
      <c r="V140" s="14">
        <v>0</v>
      </c>
      <c r="W140" s="14">
        <v>0</v>
      </c>
      <c r="X140" s="14">
        <f>W140/K140</f>
        <v>0</v>
      </c>
      <c r="Y140" s="14"/>
      <c r="Z140" s="14"/>
    </row>
    <row r="141" ht="15.6" spans="1:26">
      <c r="A141" s="12"/>
      <c r="B141" s="14"/>
      <c r="C141" s="14"/>
      <c r="D141" s="11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5.6" spans="1:26">
      <c r="A142" s="9" t="s">
        <v>56</v>
      </c>
      <c r="B142" s="10"/>
      <c r="C142" s="10"/>
      <c r="D142" s="11"/>
      <c r="E142" s="10"/>
      <c r="F142" s="10"/>
      <c r="G142" s="10"/>
      <c r="H142" s="10"/>
      <c r="I142" s="10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5.6" spans="1:26">
      <c r="A143" s="12"/>
      <c r="B143" s="10">
        <v>60.2</v>
      </c>
      <c r="C143" s="10"/>
      <c r="D143" s="13" t="s">
        <v>51</v>
      </c>
      <c r="E143" s="10"/>
      <c r="F143" s="10"/>
      <c r="G143" s="10"/>
      <c r="H143" s="10"/>
      <c r="I143" s="10"/>
      <c r="J143" s="14">
        <v>20</v>
      </c>
      <c r="K143" s="14">
        <v>0.667371</v>
      </c>
      <c r="L143" s="14"/>
      <c r="M143" s="14">
        <v>0</v>
      </c>
      <c r="N143" s="14">
        <v>0</v>
      </c>
      <c r="O143" s="14">
        <f t="shared" si="8"/>
        <v>0</v>
      </c>
      <c r="P143" s="14">
        <v>0</v>
      </c>
      <c r="Q143" s="14">
        <v>0</v>
      </c>
      <c r="R143" s="14">
        <f>Q143/K143</f>
        <v>0</v>
      </c>
      <c r="S143" s="14">
        <v>19</v>
      </c>
      <c r="T143" s="14">
        <v>0.640457</v>
      </c>
      <c r="U143" s="14">
        <f>T143/K143</f>
        <v>0.95967160694726</v>
      </c>
      <c r="V143" s="14">
        <v>1</v>
      </c>
      <c r="W143" s="14">
        <v>0.026914</v>
      </c>
      <c r="X143" s="14">
        <f>W143/K143</f>
        <v>0.0403283930527398</v>
      </c>
      <c r="Y143" s="14"/>
      <c r="Z143" s="14"/>
    </row>
    <row r="144" ht="15.6" spans="1:26">
      <c r="A144" s="12"/>
      <c r="B144" s="14"/>
      <c r="C144" s="14"/>
      <c r="D144" s="11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5.6" spans="1:26">
      <c r="A145" s="9" t="s">
        <v>57</v>
      </c>
      <c r="B145" s="10"/>
      <c r="C145" s="10"/>
      <c r="D145" s="11"/>
      <c r="E145" s="10"/>
      <c r="F145" s="10"/>
      <c r="G145" s="10"/>
      <c r="H145" s="10"/>
      <c r="I145" s="10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5.6" spans="1:26">
      <c r="A146" s="12"/>
      <c r="B146" s="10">
        <v>86.06</v>
      </c>
      <c r="C146" s="10"/>
      <c r="D146" s="13" t="s">
        <v>49</v>
      </c>
      <c r="E146" s="10"/>
      <c r="F146" s="10"/>
      <c r="G146" s="10"/>
      <c r="H146" s="10"/>
      <c r="I146" s="10"/>
      <c r="J146" s="14">
        <v>2</v>
      </c>
      <c r="K146" s="14">
        <v>0.574876</v>
      </c>
      <c r="L146" s="14"/>
      <c r="M146" s="14">
        <v>0</v>
      </c>
      <c r="N146" s="14">
        <v>0</v>
      </c>
      <c r="O146" s="14">
        <f>N146/K146</f>
        <v>0</v>
      </c>
      <c r="P146" s="14">
        <v>0</v>
      </c>
      <c r="Q146" s="14">
        <v>0</v>
      </c>
      <c r="R146" s="14">
        <f>Q146/K146</f>
        <v>0</v>
      </c>
      <c r="S146" s="14">
        <v>0</v>
      </c>
      <c r="T146" s="14">
        <v>0</v>
      </c>
      <c r="U146" s="14">
        <f>T146/K146</f>
        <v>0</v>
      </c>
      <c r="V146" s="14">
        <v>2</v>
      </c>
      <c r="W146" s="14">
        <v>0.574876</v>
      </c>
      <c r="X146" s="14">
        <f>W146/K146</f>
        <v>1</v>
      </c>
      <c r="Y146" s="14"/>
      <c r="Z146" s="14"/>
    </row>
    <row r="147" ht="15.6" spans="1:26">
      <c r="A147" s="12"/>
      <c r="B147" s="14"/>
      <c r="C147" s="14"/>
      <c r="D147" s="11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5.6" spans="1:26">
      <c r="A148" s="9" t="s">
        <v>58</v>
      </c>
      <c r="B148" s="10"/>
      <c r="C148" s="10"/>
      <c r="D148" s="11"/>
      <c r="E148" s="10"/>
      <c r="F148" s="10"/>
      <c r="G148" s="10"/>
      <c r="H148" s="10"/>
      <c r="I148" s="10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5.6" spans="1:26">
      <c r="A149" s="12"/>
      <c r="B149" s="10">
        <v>40.86</v>
      </c>
      <c r="C149" s="10"/>
      <c r="D149" s="13" t="s">
        <v>48</v>
      </c>
      <c r="E149" s="10"/>
      <c r="F149" s="10"/>
      <c r="G149" s="10"/>
      <c r="H149" s="10"/>
      <c r="I149" s="10"/>
      <c r="J149" s="14">
        <v>1</v>
      </c>
      <c r="K149" s="14">
        <v>0.08194</v>
      </c>
      <c r="L149" s="14"/>
      <c r="M149" s="14">
        <v>0</v>
      </c>
      <c r="N149" s="14">
        <v>0</v>
      </c>
      <c r="O149" s="14">
        <f>N149/K149</f>
        <v>0</v>
      </c>
      <c r="P149" s="14">
        <v>0</v>
      </c>
      <c r="Q149" s="14">
        <v>0</v>
      </c>
      <c r="R149" s="14">
        <f>Q149/K149</f>
        <v>0</v>
      </c>
      <c r="S149" s="14">
        <v>0</v>
      </c>
      <c r="T149" s="14">
        <v>0</v>
      </c>
      <c r="U149" s="14">
        <f>T149/K149</f>
        <v>0</v>
      </c>
      <c r="V149" s="14">
        <v>1</v>
      </c>
      <c r="W149" s="14">
        <v>0.08194</v>
      </c>
      <c r="X149" s="14">
        <f>W149/K149</f>
        <v>1</v>
      </c>
      <c r="Y149" s="14"/>
      <c r="Z149" s="14"/>
    </row>
    <row r="150" ht="15.6" spans="1:26">
      <c r="A150" s="12"/>
      <c r="B150" s="14"/>
      <c r="C150" s="14"/>
      <c r="D150" s="11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5.6" spans="1:26">
      <c r="A151" s="9" t="s">
        <v>59</v>
      </c>
      <c r="B151" s="10"/>
      <c r="C151" s="10"/>
      <c r="D151" s="11"/>
      <c r="E151" s="10"/>
      <c r="F151" s="10"/>
      <c r="G151" s="10"/>
      <c r="H151" s="10"/>
      <c r="I151" s="10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5.6" spans="1:26">
      <c r="A152" s="12"/>
      <c r="B152" s="10">
        <v>47.33</v>
      </c>
      <c r="C152" s="10"/>
      <c r="D152" s="13" t="s">
        <v>49</v>
      </c>
      <c r="E152" s="10"/>
      <c r="F152" s="10"/>
      <c r="G152" s="10"/>
      <c r="H152" s="10"/>
      <c r="I152" s="10"/>
      <c r="J152" s="14">
        <v>17</v>
      </c>
      <c r="K152" s="14">
        <f>SUM(T152,W152)</f>
        <v>0.654762</v>
      </c>
      <c r="L152" s="14"/>
      <c r="M152" s="14">
        <v>0</v>
      </c>
      <c r="N152" s="14">
        <v>0</v>
      </c>
      <c r="O152" s="14">
        <f t="shared" ref="O152:O157" si="9">N152/K152</f>
        <v>0</v>
      </c>
      <c r="P152" s="14">
        <v>0</v>
      </c>
      <c r="Q152" s="14">
        <v>0</v>
      </c>
      <c r="R152" s="14">
        <f>Q152/K152</f>
        <v>0</v>
      </c>
      <c r="S152" s="14">
        <v>15</v>
      </c>
      <c r="T152" s="14">
        <v>0.575152</v>
      </c>
      <c r="U152" s="14">
        <f>T152/K152</f>
        <v>0.878413835867078</v>
      </c>
      <c r="V152" s="14">
        <v>2</v>
      </c>
      <c r="W152" s="14">
        <v>0.07961</v>
      </c>
      <c r="X152" s="14">
        <f>W152/K152</f>
        <v>0.121586164132922</v>
      </c>
      <c r="Y152" s="14"/>
      <c r="Z152" s="14"/>
    </row>
    <row r="153" ht="15.6" spans="1:26">
      <c r="A153" s="12"/>
      <c r="B153" s="14"/>
      <c r="C153" s="14"/>
      <c r="D153" s="11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5.6" spans="1:26">
      <c r="A154" s="9" t="s">
        <v>60</v>
      </c>
      <c r="B154" s="10"/>
      <c r="C154" s="10"/>
      <c r="D154" s="11"/>
      <c r="E154" s="10"/>
      <c r="F154" s="10"/>
      <c r="G154" s="10"/>
      <c r="H154" s="10"/>
      <c r="I154" s="10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5.6" spans="1:26">
      <c r="A155" s="12"/>
      <c r="B155" s="10">
        <v>48.46</v>
      </c>
      <c r="C155" s="10"/>
      <c r="D155" s="13" t="s">
        <v>52</v>
      </c>
      <c r="E155" s="10"/>
      <c r="F155" s="10"/>
      <c r="G155" s="10"/>
      <c r="H155" s="10"/>
      <c r="I155" s="10"/>
      <c r="J155" s="14">
        <v>1</v>
      </c>
      <c r="K155" s="14">
        <v>0.849223</v>
      </c>
      <c r="L155" s="14"/>
      <c r="M155" s="14">
        <v>0</v>
      </c>
      <c r="N155" s="14">
        <v>0</v>
      </c>
      <c r="O155" s="14">
        <f t="shared" si="9"/>
        <v>0</v>
      </c>
      <c r="P155" s="14">
        <v>0</v>
      </c>
      <c r="Q155" s="14">
        <v>0</v>
      </c>
      <c r="R155" s="14">
        <f>Q155/K155</f>
        <v>0</v>
      </c>
      <c r="S155" s="14">
        <v>1</v>
      </c>
      <c r="T155" s="14">
        <v>0.849223</v>
      </c>
      <c r="U155" s="14">
        <f>T155/K155</f>
        <v>1</v>
      </c>
      <c r="V155" s="14">
        <v>0</v>
      </c>
      <c r="W155" s="14">
        <v>0</v>
      </c>
      <c r="X155" s="14">
        <f>W155/K155</f>
        <v>0</v>
      </c>
      <c r="Y155" s="14"/>
      <c r="Z155" s="14"/>
    </row>
    <row r="156" ht="15.6" spans="1:26">
      <c r="A156" s="12"/>
      <c r="B156" s="14"/>
      <c r="C156" s="14"/>
      <c r="D156" s="11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31.2" spans="1:26">
      <c r="A157" s="12"/>
      <c r="B157" s="10">
        <v>62.61</v>
      </c>
      <c r="C157" s="10"/>
      <c r="D157" s="13" t="s">
        <v>53</v>
      </c>
      <c r="E157" s="10"/>
      <c r="F157" s="10"/>
      <c r="G157" s="10"/>
      <c r="H157" s="10"/>
      <c r="I157" s="10"/>
      <c r="J157" s="14">
        <v>1</v>
      </c>
      <c r="K157" s="14">
        <v>0.395702</v>
      </c>
      <c r="L157" s="14"/>
      <c r="M157" s="14">
        <v>0</v>
      </c>
      <c r="N157" s="14">
        <v>0</v>
      </c>
      <c r="O157" s="14">
        <f t="shared" si="9"/>
        <v>0</v>
      </c>
      <c r="P157" s="14">
        <v>0</v>
      </c>
      <c r="Q157" s="14">
        <v>0</v>
      </c>
      <c r="R157" s="14">
        <f>Q157/K157</f>
        <v>0</v>
      </c>
      <c r="S157" s="14">
        <v>1</v>
      </c>
      <c r="T157" s="14">
        <v>0.395702</v>
      </c>
      <c r="U157" s="14">
        <f>T157/K157</f>
        <v>1</v>
      </c>
      <c r="V157" s="14">
        <v>0</v>
      </c>
      <c r="W157" s="14">
        <v>0</v>
      </c>
      <c r="X157" s="14">
        <f>W157/K157</f>
        <v>0</v>
      </c>
      <c r="Y157" s="14"/>
      <c r="Z157" s="14"/>
    </row>
    <row r="158" ht="15.6" spans="1:26">
      <c r="A158" s="12"/>
      <c r="B158" s="14"/>
      <c r="C158" s="14"/>
      <c r="D158" s="11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5.6" spans="1:26">
      <c r="A159" s="9" t="s">
        <v>61</v>
      </c>
      <c r="B159" s="10"/>
      <c r="C159" s="10"/>
      <c r="D159" s="11"/>
      <c r="E159" s="10"/>
      <c r="F159" s="10"/>
      <c r="G159" s="10"/>
      <c r="H159" s="10"/>
      <c r="I159" s="10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5.6" spans="1:26">
      <c r="A160" s="12"/>
      <c r="B160" s="10">
        <v>92.27</v>
      </c>
      <c r="C160" s="10"/>
      <c r="D160" s="13" t="s">
        <v>48</v>
      </c>
      <c r="E160" s="10"/>
      <c r="F160" s="10"/>
      <c r="G160" s="10"/>
      <c r="H160" s="10"/>
      <c r="I160" s="10"/>
      <c r="J160" s="14">
        <v>1</v>
      </c>
      <c r="K160" s="14">
        <v>0.91933</v>
      </c>
      <c r="L160" s="14"/>
      <c r="M160" s="14">
        <v>0</v>
      </c>
      <c r="N160" s="14">
        <v>0</v>
      </c>
      <c r="O160" s="14">
        <f>N160/K160</f>
        <v>0</v>
      </c>
      <c r="P160" s="14">
        <v>0</v>
      </c>
      <c r="Q160" s="14">
        <v>0</v>
      </c>
      <c r="R160" s="14">
        <f>Q160/K160</f>
        <v>0</v>
      </c>
      <c r="S160" s="14">
        <v>1</v>
      </c>
      <c r="T160" s="14">
        <v>0.91933</v>
      </c>
      <c r="U160" s="14">
        <f>T160/K160</f>
        <v>1</v>
      </c>
      <c r="V160" s="14">
        <v>0</v>
      </c>
      <c r="W160" s="14">
        <v>0</v>
      </c>
      <c r="X160" s="14">
        <f>W160/K160</f>
        <v>0</v>
      </c>
      <c r="Y160" s="14"/>
      <c r="Z160" s="14"/>
    </row>
    <row r="161" ht="15.6" spans="1:26">
      <c r="A161" s="12"/>
      <c r="B161" s="14"/>
      <c r="C161" s="14"/>
      <c r="D161" s="11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5.6" spans="1:26">
      <c r="A162" s="9" t="s">
        <v>62</v>
      </c>
      <c r="B162" s="10"/>
      <c r="C162" s="10"/>
      <c r="D162" s="11"/>
      <c r="E162" s="10"/>
      <c r="F162" s="10"/>
      <c r="G162" s="10"/>
      <c r="H162" s="10"/>
      <c r="I162" s="10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5.6" spans="1:26">
      <c r="A163" s="12"/>
      <c r="B163" s="10">
        <v>309.45</v>
      </c>
      <c r="C163" s="10"/>
      <c r="D163" s="13" t="s">
        <v>49</v>
      </c>
      <c r="E163" s="10"/>
      <c r="F163" s="10"/>
      <c r="G163" s="10"/>
      <c r="H163" s="10"/>
      <c r="I163" s="10"/>
      <c r="J163" s="14">
        <v>2</v>
      </c>
      <c r="K163" s="14">
        <v>0.510372</v>
      </c>
      <c r="L163" s="14"/>
      <c r="M163" s="14">
        <v>0</v>
      </c>
      <c r="N163" s="14">
        <v>0</v>
      </c>
      <c r="O163" s="14">
        <f>N163/K163</f>
        <v>0</v>
      </c>
      <c r="P163" s="14">
        <v>0</v>
      </c>
      <c r="Q163" s="14">
        <v>0</v>
      </c>
      <c r="R163" s="14">
        <f>Q163/K163</f>
        <v>0</v>
      </c>
      <c r="S163" s="14">
        <v>2</v>
      </c>
      <c r="T163" s="14">
        <v>0.510372</v>
      </c>
      <c r="U163" s="14">
        <f>T163/K163</f>
        <v>1</v>
      </c>
      <c r="V163" s="14">
        <v>0</v>
      </c>
      <c r="W163" s="14">
        <v>0</v>
      </c>
      <c r="X163" s="14">
        <f>W163/K163</f>
        <v>0</v>
      </c>
      <c r="Y163" s="14"/>
      <c r="Z163" s="14"/>
    </row>
    <row r="164" ht="15.6" spans="1:26">
      <c r="A164" s="12"/>
      <c r="B164" s="14"/>
      <c r="C164" s="14"/>
      <c r="D164" s="11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5.6" spans="1:26">
      <c r="A165" s="9" t="s">
        <v>63</v>
      </c>
      <c r="B165" s="10"/>
      <c r="C165" s="10"/>
      <c r="D165" s="11"/>
      <c r="E165" s="10"/>
      <c r="F165" s="10"/>
      <c r="G165" s="10"/>
      <c r="H165" s="10"/>
      <c r="I165" s="10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5.6" spans="1:26">
      <c r="A166" s="12"/>
      <c r="B166" s="10">
        <v>66.63</v>
      </c>
      <c r="C166" s="10"/>
      <c r="D166" s="13" t="s">
        <v>48</v>
      </c>
      <c r="E166" s="10"/>
      <c r="F166" s="10"/>
      <c r="G166" s="10"/>
      <c r="H166" s="10"/>
      <c r="I166" s="10"/>
      <c r="J166" s="14">
        <v>1</v>
      </c>
      <c r="K166" s="14">
        <v>0.521227</v>
      </c>
      <c r="L166" s="14"/>
      <c r="M166" s="14">
        <v>0</v>
      </c>
      <c r="N166" s="14">
        <v>0</v>
      </c>
      <c r="O166" s="14">
        <f>N166/K166</f>
        <v>0</v>
      </c>
      <c r="P166" s="14">
        <v>0</v>
      </c>
      <c r="Q166" s="14">
        <v>0</v>
      </c>
      <c r="R166" s="14">
        <f>Q166/K166</f>
        <v>0</v>
      </c>
      <c r="S166" s="14">
        <v>1</v>
      </c>
      <c r="T166" s="14">
        <v>0.521227</v>
      </c>
      <c r="U166" s="14">
        <f>T166/K166</f>
        <v>1</v>
      </c>
      <c r="V166" s="14">
        <v>0</v>
      </c>
      <c r="W166" s="14">
        <v>0</v>
      </c>
      <c r="X166" s="14">
        <f>W166/K166</f>
        <v>0</v>
      </c>
      <c r="Y166" s="14"/>
      <c r="Z166" s="14"/>
    </row>
    <row r="167" ht="15.6" spans="1:26">
      <c r="A167" s="12"/>
      <c r="B167" s="14"/>
      <c r="C167" s="14"/>
      <c r="D167" s="11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5.6" spans="1:26">
      <c r="A168" s="9" t="s">
        <v>64</v>
      </c>
      <c r="B168" s="10"/>
      <c r="C168" s="10"/>
      <c r="D168" s="11"/>
      <c r="E168" s="10"/>
      <c r="F168" s="10"/>
      <c r="G168" s="10"/>
      <c r="H168" s="10"/>
      <c r="I168" s="10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5.6" spans="1:26">
      <c r="A169" s="12"/>
      <c r="B169" s="10">
        <v>24.6</v>
      </c>
      <c r="C169" s="10"/>
      <c r="D169" s="13" t="s">
        <v>48</v>
      </c>
      <c r="E169" s="10"/>
      <c r="F169" s="10"/>
      <c r="G169" s="10"/>
      <c r="H169" s="10"/>
      <c r="I169" s="10"/>
      <c r="J169" s="14">
        <v>1</v>
      </c>
      <c r="K169" s="14">
        <v>0.267174</v>
      </c>
      <c r="L169" s="14"/>
      <c r="M169" s="14">
        <v>0</v>
      </c>
      <c r="N169" s="14">
        <v>0</v>
      </c>
      <c r="O169" s="14">
        <f t="shared" ref="O169:O174" si="10">N169/K169</f>
        <v>0</v>
      </c>
      <c r="P169" s="14">
        <v>0</v>
      </c>
      <c r="Q169" s="14">
        <v>0</v>
      </c>
      <c r="R169" s="14">
        <f>Q169/K169</f>
        <v>0</v>
      </c>
      <c r="S169" s="14">
        <v>1</v>
      </c>
      <c r="T169" s="14">
        <v>0.267174</v>
      </c>
      <c r="U169" s="14">
        <f>T169/K169</f>
        <v>1</v>
      </c>
      <c r="V169" s="14">
        <v>0</v>
      </c>
      <c r="W169" s="14">
        <v>0</v>
      </c>
      <c r="X169" s="14">
        <f>W169/K169</f>
        <v>0</v>
      </c>
      <c r="Y169" s="14"/>
      <c r="Z169" s="14"/>
    </row>
    <row r="170" ht="15.6" spans="1:26">
      <c r="A170" s="12"/>
      <c r="B170" s="14"/>
      <c r="C170" s="14"/>
      <c r="D170" s="11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5.6" spans="1:26">
      <c r="A171" s="9" t="s">
        <v>65</v>
      </c>
      <c r="B171" s="10"/>
      <c r="C171" s="10"/>
      <c r="D171" s="11"/>
      <c r="E171" s="10"/>
      <c r="F171" s="10"/>
      <c r="G171" s="10"/>
      <c r="H171" s="10"/>
      <c r="I171" s="10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5.6" spans="1:26">
      <c r="A172" s="12"/>
      <c r="B172" s="10">
        <v>44.87</v>
      </c>
      <c r="C172" s="10"/>
      <c r="D172" s="13" t="s">
        <v>54</v>
      </c>
      <c r="E172" s="10"/>
      <c r="F172" s="10"/>
      <c r="G172" s="10"/>
      <c r="H172" s="10"/>
      <c r="I172" s="10"/>
      <c r="J172" s="14">
        <v>3</v>
      </c>
      <c r="K172" s="14">
        <v>0.278803</v>
      </c>
      <c r="L172" s="14"/>
      <c r="M172" s="14">
        <v>0</v>
      </c>
      <c r="N172" s="14">
        <v>0</v>
      </c>
      <c r="O172" s="14">
        <f t="shared" si="10"/>
        <v>0</v>
      </c>
      <c r="P172" s="14">
        <v>0</v>
      </c>
      <c r="Q172" s="14">
        <v>0</v>
      </c>
      <c r="R172" s="14">
        <f>Q172/K172</f>
        <v>0</v>
      </c>
      <c r="S172" s="14">
        <v>3</v>
      </c>
      <c r="T172" s="14">
        <v>0.278803</v>
      </c>
      <c r="U172" s="14">
        <f>T172/K172</f>
        <v>1</v>
      </c>
      <c r="V172" s="14">
        <v>0</v>
      </c>
      <c r="W172" s="14">
        <v>0</v>
      </c>
      <c r="X172" s="14">
        <f>W172/K172</f>
        <v>0</v>
      </c>
      <c r="Y172" s="14"/>
      <c r="Z172" s="14"/>
    </row>
    <row r="173" ht="15.6" spans="1:26">
      <c r="A173" s="12"/>
      <c r="B173" s="14"/>
      <c r="C173" s="14"/>
      <c r="D173" s="11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5.6" spans="1:26">
      <c r="A174" s="12"/>
      <c r="B174" s="10">
        <v>102.75</v>
      </c>
      <c r="C174" s="10"/>
      <c r="D174" s="13" t="s">
        <v>48</v>
      </c>
      <c r="E174" s="10"/>
      <c r="F174" s="10"/>
      <c r="G174" s="10"/>
      <c r="H174" s="10"/>
      <c r="I174" s="10"/>
      <c r="J174" s="14">
        <v>5</v>
      </c>
      <c r="K174" s="14">
        <v>1.187026</v>
      </c>
      <c r="L174" s="14"/>
      <c r="M174" s="14">
        <v>0</v>
      </c>
      <c r="N174" s="14">
        <v>0</v>
      </c>
      <c r="O174" s="14">
        <f t="shared" si="10"/>
        <v>0</v>
      </c>
      <c r="P174" s="14">
        <v>0</v>
      </c>
      <c r="Q174" s="14">
        <v>0</v>
      </c>
      <c r="R174" s="14">
        <f>Q174/K174</f>
        <v>0</v>
      </c>
      <c r="S174" s="14">
        <v>5</v>
      </c>
      <c r="T174" s="14">
        <v>1.187026</v>
      </c>
      <c r="U174" s="14">
        <f>T174/K174</f>
        <v>1</v>
      </c>
      <c r="V174" s="14">
        <v>0</v>
      </c>
      <c r="W174" s="14">
        <v>0</v>
      </c>
      <c r="X174" s="14">
        <f>W174/K174</f>
        <v>0</v>
      </c>
      <c r="Y174" s="14"/>
      <c r="Z174" s="14"/>
    </row>
    <row r="175" ht="15.6" spans="1:26">
      <c r="A175" s="12"/>
      <c r="B175" s="14"/>
      <c r="C175" s="14"/>
      <c r="D175" s="11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5.6" spans="1:26">
      <c r="A176" s="9" t="s">
        <v>66</v>
      </c>
      <c r="B176" s="10"/>
      <c r="C176" s="10"/>
      <c r="D176" s="11"/>
      <c r="E176" s="10"/>
      <c r="F176" s="10"/>
      <c r="G176" s="10"/>
      <c r="H176" s="10"/>
      <c r="I176" s="10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31.2" spans="1:26">
      <c r="A177" s="12"/>
      <c r="B177" s="10">
        <v>9.47</v>
      </c>
      <c r="C177" s="10"/>
      <c r="D177" s="13" t="s">
        <v>53</v>
      </c>
      <c r="E177" s="10"/>
      <c r="F177" s="10"/>
      <c r="G177" s="10"/>
      <c r="H177" s="10"/>
      <c r="I177" s="10"/>
      <c r="J177" s="14">
        <v>5</v>
      </c>
      <c r="K177" s="14">
        <v>3.840025</v>
      </c>
      <c r="L177" s="14"/>
      <c r="M177" s="14">
        <v>0</v>
      </c>
      <c r="N177" s="14">
        <v>0</v>
      </c>
      <c r="O177" s="14">
        <f>N177/K177</f>
        <v>0</v>
      </c>
      <c r="P177" s="14">
        <v>0</v>
      </c>
      <c r="Q177" s="14">
        <v>0</v>
      </c>
      <c r="R177" s="14">
        <f>Q177/K177</f>
        <v>0</v>
      </c>
      <c r="S177" s="14">
        <v>3</v>
      </c>
      <c r="T177" s="14">
        <v>2.892476</v>
      </c>
      <c r="U177" s="14">
        <f>T177/K177</f>
        <v>0.753244054400688</v>
      </c>
      <c r="V177" s="14">
        <v>0</v>
      </c>
      <c r="W177" s="14">
        <v>0</v>
      </c>
      <c r="X177" s="14">
        <f>W177/K177</f>
        <v>0</v>
      </c>
      <c r="Y177" s="14"/>
      <c r="Z177" s="14"/>
    </row>
    <row r="178" ht="15.6" spans="1:26">
      <c r="A178" s="12"/>
      <c r="B178" s="14"/>
      <c r="C178" s="14"/>
      <c r="D178" s="13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36" customHeight="1" spans="1:26">
      <c r="A179" s="27"/>
      <c r="B179" s="26"/>
      <c r="C179" s="26"/>
      <c r="D179" s="26" t="s">
        <v>67</v>
      </c>
      <c r="E179" s="26"/>
      <c r="F179" s="26"/>
      <c r="G179" s="26"/>
      <c r="H179" s="26"/>
      <c r="I179" s="26"/>
      <c r="J179" s="26">
        <v>2683</v>
      </c>
      <c r="K179" s="26">
        <v>106.533364</v>
      </c>
      <c r="L179" s="26"/>
      <c r="M179" s="26">
        <v>0</v>
      </c>
      <c r="N179" s="26">
        <v>0</v>
      </c>
      <c r="O179" s="26">
        <f>N179/K179</f>
        <v>0</v>
      </c>
      <c r="P179" s="26">
        <v>4</v>
      </c>
      <c r="Q179" s="29">
        <v>6.195311</v>
      </c>
      <c r="R179" s="29">
        <f>Q179/K179</f>
        <v>0.0581537160508702</v>
      </c>
      <c r="S179" s="29">
        <v>2415</v>
      </c>
      <c r="T179" s="29">
        <v>91.280624</v>
      </c>
      <c r="U179" s="29">
        <f>T179/K179</f>
        <v>0.85682663695854</v>
      </c>
      <c r="V179" s="29">
        <v>264</v>
      </c>
      <c r="W179" s="29">
        <v>9.057429</v>
      </c>
      <c r="X179" s="29">
        <f>W179/K179</f>
        <v>0.0850196469905897</v>
      </c>
      <c r="Y179" s="26"/>
      <c r="Z179" s="26"/>
    </row>
  </sheetData>
  <mergeCells count="9">
    <mergeCell ref="E3:Z3"/>
    <mergeCell ref="E4:I4"/>
    <mergeCell ref="A3:A5"/>
    <mergeCell ref="B3:B5"/>
    <mergeCell ref="C3:C5"/>
    <mergeCell ref="D3:D5"/>
    <mergeCell ref="Y4:Y5"/>
    <mergeCell ref="Z4:Z5"/>
    <mergeCell ref="A1:Z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RSI SOFTECH</dc:creator>
  <cp:lastModifiedBy>RSI SOFTECH</cp:lastModifiedBy>
  <dcterms:created xsi:type="dcterms:W3CDTF">2021-07-13T07:07:00Z</dcterms:created>
  <dcterms:modified xsi:type="dcterms:W3CDTF">2021-07-13T07:55:21Z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1033-11.2.0.10176</vt:lpwstr>
  </property>
</Properties>
</file>